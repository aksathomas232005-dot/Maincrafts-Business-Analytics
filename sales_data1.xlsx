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530" activeTab="4"/>
  </bookViews>
  <sheets>
    <sheet name="Raw_Data" sheetId="1" r:id="rId1"/>
    <sheet name="Cleaned_Data" sheetId="2" r:id="rId2"/>
    <sheet name="Pivot_Region" sheetId="3" r:id="rId3"/>
    <sheet name="Pivot_Product" sheetId="4" r:id="rId4"/>
    <sheet name="Pivot_Monthly" sheetId="5" r:id="rId5"/>
    <sheet name="KPI_Summary" sheetId="6" r:id="rId6"/>
  </sheets>
  <calcPr calcId="162913"/>
</workbook>
</file>

<file path=xl/calcChain.xml><?xml version="1.0" encoding="utf-8"?>
<calcChain xmlns="http://schemas.openxmlformats.org/spreadsheetml/2006/main">
  <c r="B5" i="6" l="1"/>
  <c r="B3" i="6"/>
  <c r="D15" i="5"/>
  <c r="D14" i="5"/>
  <c r="D13" i="5"/>
  <c r="D12" i="5"/>
  <c r="C12" i="5"/>
  <c r="D11" i="5"/>
  <c r="D10" i="5"/>
  <c r="D9" i="5"/>
  <c r="D8" i="5"/>
  <c r="D7" i="5"/>
  <c r="D6" i="5"/>
  <c r="D5" i="5"/>
  <c r="D4" i="5"/>
  <c r="C4" i="5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C7" i="3"/>
  <c r="C6" i="3"/>
  <c r="C5" i="3"/>
  <c r="D5" i="3" s="1"/>
  <c r="B5" i="3"/>
  <c r="C4" i="3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C11" i="4" s="1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C9" i="4" s="1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C13" i="4" s="1"/>
  <c r="J33" i="2"/>
  <c r="I33" i="2"/>
  <c r="J32" i="2"/>
  <c r="I32" i="2"/>
  <c r="J31" i="2"/>
  <c r="I31" i="2"/>
  <c r="J30" i="2"/>
  <c r="I30" i="2"/>
  <c r="J29" i="2"/>
  <c r="I29" i="2"/>
  <c r="J28" i="2"/>
  <c r="I28" i="2"/>
  <c r="C6" i="4" s="1"/>
  <c r="J27" i="2"/>
  <c r="I27" i="2"/>
  <c r="J26" i="2"/>
  <c r="I26" i="2"/>
  <c r="J25" i="2"/>
  <c r="I25" i="2"/>
  <c r="C4" i="4" s="1"/>
  <c r="J24" i="2"/>
  <c r="I24" i="2"/>
  <c r="J23" i="2"/>
  <c r="I23" i="2"/>
  <c r="J22" i="2"/>
  <c r="I22" i="2"/>
  <c r="J21" i="2"/>
  <c r="I21" i="2"/>
  <c r="C8" i="4" s="1"/>
  <c r="J20" i="2"/>
  <c r="I20" i="2"/>
  <c r="C12" i="4" s="1"/>
  <c r="J19" i="2"/>
  <c r="I19" i="2"/>
  <c r="J18" i="2"/>
  <c r="I18" i="2"/>
  <c r="J17" i="2"/>
  <c r="I17" i="2"/>
  <c r="J16" i="2"/>
  <c r="I16" i="2"/>
  <c r="J15" i="2"/>
  <c r="I15" i="2"/>
  <c r="J14" i="2"/>
  <c r="I14" i="2"/>
  <c r="C17" i="4" s="1"/>
  <c r="J13" i="2"/>
  <c r="I13" i="2"/>
  <c r="J12" i="2"/>
  <c r="I12" i="2"/>
  <c r="C7" i="4" s="1"/>
  <c r="J11" i="2"/>
  <c r="I11" i="2"/>
  <c r="J10" i="2"/>
  <c r="I10" i="2"/>
  <c r="C14" i="4" s="1"/>
  <c r="J9" i="2"/>
  <c r="I9" i="2"/>
  <c r="J8" i="2"/>
  <c r="I8" i="2"/>
  <c r="C18" i="4" s="1"/>
  <c r="J7" i="2"/>
  <c r="I7" i="2"/>
  <c r="J6" i="2"/>
  <c r="I6" i="2"/>
  <c r="C15" i="4" s="1"/>
  <c r="J5" i="2"/>
  <c r="I5" i="2"/>
  <c r="J4" i="2"/>
  <c r="I4" i="2"/>
  <c r="C5" i="4" s="1"/>
  <c r="J3" i="2"/>
  <c r="I3" i="2"/>
  <c r="C10" i="4" s="1"/>
  <c r="J2" i="2"/>
  <c r="I2" i="2"/>
  <c r="C15" i="5" s="1"/>
  <c r="B8" i="6" l="1"/>
  <c r="D6" i="3"/>
  <c r="C8" i="5"/>
  <c r="C14" i="5"/>
  <c r="B2" i="6"/>
  <c r="B6" i="6" s="1"/>
  <c r="B4" i="3"/>
  <c r="C6" i="5"/>
  <c r="C10" i="5"/>
  <c r="B7" i="3"/>
  <c r="D7" i="3" s="1"/>
  <c r="C8" i="3"/>
  <c r="B6" i="3"/>
  <c r="C16" i="4"/>
  <c r="C5" i="5"/>
  <c r="C7" i="5"/>
  <c r="C9" i="5"/>
  <c r="C11" i="5"/>
  <c r="C13" i="5"/>
  <c r="B7" i="6" l="1"/>
  <c r="B8" i="3"/>
  <c r="B4" i="6"/>
  <c r="D4" i="3"/>
</calcChain>
</file>

<file path=xl/sharedStrings.xml><?xml version="1.0" encoding="utf-8"?>
<sst xmlns="http://schemas.openxmlformats.org/spreadsheetml/2006/main" count="1103" uniqueCount="247">
  <si>
    <t>Order_ID</t>
  </si>
  <si>
    <t>Order_Date</t>
  </si>
  <si>
    <t>Region</t>
  </si>
  <si>
    <t>Product</t>
  </si>
  <si>
    <t>Category</t>
  </si>
  <si>
    <t>Sales_Amount</t>
  </si>
  <si>
    <t>Profit</t>
  </si>
  <si>
    <t>Quantity</t>
  </si>
  <si>
    <t>ORD1064</t>
  </si>
  <si>
    <t>2024-07-13</t>
  </si>
  <si>
    <t>West</t>
  </si>
  <si>
    <t>Stapler</t>
  </si>
  <si>
    <t>Office Supplies</t>
  </si>
  <si>
    <t>ORD1081</t>
  </si>
  <si>
    <t>2024-06-21</t>
  </si>
  <si>
    <t>South</t>
  </si>
  <si>
    <t>Desk</t>
  </si>
  <si>
    <t>Furniture</t>
  </si>
  <si>
    <t>ORD1054</t>
  </si>
  <si>
    <t>2024-06-19</t>
  </si>
  <si>
    <t>Smartphone</t>
  </si>
  <si>
    <t>Electronics</t>
  </si>
  <si>
    <t>ORD1006</t>
  </si>
  <si>
    <t>2024-02-10</t>
  </si>
  <si>
    <t>North</t>
  </si>
  <si>
    <t>Printer Paper</t>
  </si>
  <si>
    <t>ORD1044</t>
  </si>
  <si>
    <t>2024-02-05</t>
  </si>
  <si>
    <t>Notebook</t>
  </si>
  <si>
    <t>ORD1056</t>
  </si>
  <si>
    <t>2024-06-05</t>
  </si>
  <si>
    <t>ORD1011</t>
  </si>
  <si>
    <t>2024-01-29</t>
  </si>
  <si>
    <t>East</t>
  </si>
  <si>
    <t>Whiteboard</t>
  </si>
  <si>
    <t>ORD1027</t>
  </si>
  <si>
    <t>2024-04-27</t>
  </si>
  <si>
    <t>ORD1087</t>
  </si>
  <si>
    <t>2024-01-11</t>
  </si>
  <si>
    <t>Pen Set</t>
  </si>
  <si>
    <t>ORD1023</t>
  </si>
  <si>
    <t>2024-03-25</t>
  </si>
  <si>
    <t>ORD1004</t>
  </si>
  <si>
    <t>Monitor</t>
  </si>
  <si>
    <t>ORD1077</t>
  </si>
  <si>
    <t>2024-04-19</t>
  </si>
  <si>
    <t>ORD1049</t>
  </si>
  <si>
    <t>2024-03-07</t>
  </si>
  <si>
    <t>ORD1090</t>
  </si>
  <si>
    <t>2024-12-12</t>
  </si>
  <si>
    <t>Chair</t>
  </si>
  <si>
    <t>ORD1034</t>
  </si>
  <si>
    <t>2024-05-01</t>
  </si>
  <si>
    <t>ORD1026</t>
  </si>
  <si>
    <t>2024-10-10</t>
  </si>
  <si>
    <t>ORD1014</t>
  </si>
  <si>
    <t>2024-08-07</t>
  </si>
  <si>
    <t>ORD1051</t>
  </si>
  <si>
    <t>2024-10-09</t>
  </si>
  <si>
    <t>ORD1078</t>
  </si>
  <si>
    <t>2024-04-15</t>
  </si>
  <si>
    <t>Cabinet</t>
  </si>
  <si>
    <t>ORD1039</t>
  </si>
  <si>
    <t>2024-02-04</t>
  </si>
  <si>
    <t>Headphones</t>
  </si>
  <si>
    <t>ORD1010</t>
  </si>
  <si>
    <t>ORD1072</t>
  </si>
  <si>
    <t>2024-03-03</t>
  </si>
  <si>
    <t>ORD1095</t>
  </si>
  <si>
    <t>2024-11-29</t>
  </si>
  <si>
    <t>ORD1057</t>
  </si>
  <si>
    <t>Laptop</t>
  </si>
  <si>
    <t>ORD1002</t>
  </si>
  <si>
    <t>2024-09-15</t>
  </si>
  <si>
    <t>ORD1053</t>
  </si>
  <si>
    <t>2024-07-27</t>
  </si>
  <si>
    <t>ORD1021</t>
  </si>
  <si>
    <t>2024-06-06</t>
  </si>
  <si>
    <t>ORD1042</t>
  </si>
  <si>
    <t>2024-08-22</t>
  </si>
  <si>
    <t>Tablet</t>
  </si>
  <si>
    <t>ORD1073</t>
  </si>
  <si>
    <t>2024-08-14</t>
  </si>
  <si>
    <t>ORD1065</t>
  </si>
  <si>
    <t>2024-06-04</t>
  </si>
  <si>
    <t>ORD1005</t>
  </si>
  <si>
    <t>2024-05-15</t>
  </si>
  <si>
    <t>ORD1008</t>
  </si>
  <si>
    <t>2024-08-20</t>
  </si>
  <si>
    <t>ORD1079</t>
  </si>
  <si>
    <t>Sofa</t>
  </si>
  <si>
    <t>ORD1017</t>
  </si>
  <si>
    <t>2024-02-28</t>
  </si>
  <si>
    <t>ORD1096</t>
  </si>
  <si>
    <t>2024-10-30</t>
  </si>
  <si>
    <t>ORD1060</t>
  </si>
  <si>
    <t>2024-11-06</t>
  </si>
  <si>
    <t>ORD1022</t>
  </si>
  <si>
    <t>2024-09-05</t>
  </si>
  <si>
    <t>ORD1097</t>
  </si>
  <si>
    <t>2024-08-25</t>
  </si>
  <si>
    <t>ORD1047</t>
  </si>
  <si>
    <t>2024-04-17</t>
  </si>
  <si>
    <t>ORD1052</t>
  </si>
  <si>
    <t>2024-01-21</t>
  </si>
  <si>
    <t>ORD1050</t>
  </si>
  <si>
    <t>2024-02-27</t>
  </si>
  <si>
    <t>ORD1066</t>
  </si>
  <si>
    <t>ORD1001</t>
  </si>
  <si>
    <t>ORD1007</t>
  </si>
  <si>
    <t>2024-01-24</t>
  </si>
  <si>
    <t>ORD1094</t>
  </si>
  <si>
    <t>2024-11-21</t>
  </si>
  <si>
    <t>ORD1074</t>
  </si>
  <si>
    <t>2024-05-12</t>
  </si>
  <si>
    <t>ORD1003</t>
  </si>
  <si>
    <t>2024-05-22</t>
  </si>
  <si>
    <t>ORD1086</t>
  </si>
  <si>
    <t>2024-04-24</t>
  </si>
  <si>
    <t>ORD1067</t>
  </si>
  <si>
    <t>2024-03-27</t>
  </si>
  <si>
    <t>ORD1100</t>
  </si>
  <si>
    <t>2024-10-11</t>
  </si>
  <si>
    <t>ORD1018</t>
  </si>
  <si>
    <t>2024-01-02</t>
  </si>
  <si>
    <t>ORD1009</t>
  </si>
  <si>
    <t>2024-12-15</t>
  </si>
  <si>
    <t>ORD1080</t>
  </si>
  <si>
    <t>2024-08-02</t>
  </si>
  <si>
    <t>ORD1082</t>
  </si>
  <si>
    <t>2024-09-30</t>
  </si>
  <si>
    <t>ORD1020</t>
  </si>
  <si>
    <t>2024-09-28</t>
  </si>
  <si>
    <t>ORD1099</t>
  </si>
  <si>
    <t>2024-05-21</t>
  </si>
  <si>
    <t>Bookshelf</t>
  </si>
  <si>
    <t>ORD1084</t>
  </si>
  <si>
    <t>ORD1015</t>
  </si>
  <si>
    <t>2024-01-25</t>
  </si>
  <si>
    <t>ORD1019</t>
  </si>
  <si>
    <t>2024-06-01</t>
  </si>
  <si>
    <t>ORD1070</t>
  </si>
  <si>
    <t>2024-09-10</t>
  </si>
  <si>
    <t>ORD1013</t>
  </si>
  <si>
    <t>2024-03-14</t>
  </si>
  <si>
    <t>ORD1037</t>
  </si>
  <si>
    <t>2024-01-30</t>
  </si>
  <si>
    <t>ORD1036</t>
  </si>
  <si>
    <t>ORD1062</t>
  </si>
  <si>
    <t>2024-11-15</t>
  </si>
  <si>
    <t>ORD1028</t>
  </si>
  <si>
    <t>ORD1091</t>
  </si>
  <si>
    <t>2024-05-04</t>
  </si>
  <si>
    <t>ORD1024</t>
  </si>
  <si>
    <t>2024-12-19</t>
  </si>
  <si>
    <t>ORD1069</t>
  </si>
  <si>
    <t>2024-08-31</t>
  </si>
  <si>
    <t>ORD1076</t>
  </si>
  <si>
    <t>2024-10-03</t>
  </si>
  <si>
    <t>ORD1041</t>
  </si>
  <si>
    <t>2024-04-14</t>
  </si>
  <si>
    <t>ORD1025</t>
  </si>
  <si>
    <t>2024-08-12</t>
  </si>
  <si>
    <t>ORD1016</t>
  </si>
  <si>
    <t>2024-11-01</t>
  </si>
  <si>
    <t>ORD1030</t>
  </si>
  <si>
    <t>2024-07-29</t>
  </si>
  <si>
    <t>ORD1033</t>
  </si>
  <si>
    <t>2024-02-20</t>
  </si>
  <si>
    <t>ORD1093</t>
  </si>
  <si>
    <t>2024-11-27</t>
  </si>
  <si>
    <t>ORD1035</t>
  </si>
  <si>
    <t>2024-01-31</t>
  </si>
  <si>
    <t>ORD1059</t>
  </si>
  <si>
    <t>2024-01-20</t>
  </si>
  <si>
    <t>ORD1046</t>
  </si>
  <si>
    <t>2024-03-09</t>
  </si>
  <si>
    <t>ORD1043</t>
  </si>
  <si>
    <t>2024-02-21</t>
  </si>
  <si>
    <t>ORD1088</t>
  </si>
  <si>
    <t>2024-04-21</t>
  </si>
  <si>
    <t>ORD1055</t>
  </si>
  <si>
    <t>2024-07-14</t>
  </si>
  <si>
    <t>ORD1045</t>
  </si>
  <si>
    <t>2024-06-03</t>
  </si>
  <si>
    <t>ORD1068</t>
  </si>
  <si>
    <t>2024-04-30</t>
  </si>
  <si>
    <t>ORD1071</t>
  </si>
  <si>
    <t>2024-02-24</t>
  </si>
  <si>
    <t>ORD1048</t>
  </si>
  <si>
    <t>2024-01-27</t>
  </si>
  <si>
    <t>ORD1075</t>
  </si>
  <si>
    <t>2024-08-13</t>
  </si>
  <si>
    <t>ORD1085</t>
  </si>
  <si>
    <t>2024-05-09</t>
  </si>
  <si>
    <t>ORD1040</t>
  </si>
  <si>
    <t>2024-11-13</t>
  </si>
  <si>
    <t>ORD1032</t>
  </si>
  <si>
    <t>ORD1029</t>
  </si>
  <si>
    <t>2024-08-30</t>
  </si>
  <si>
    <t>ORD1038</t>
  </si>
  <si>
    <t>ORD1012</t>
  </si>
  <si>
    <t>2024-10-17</t>
  </si>
  <si>
    <t>ORD1058</t>
  </si>
  <si>
    <t>2024-06-18</t>
  </si>
  <si>
    <t>ORD1063</t>
  </si>
  <si>
    <t>2024-06-16</t>
  </si>
  <si>
    <t>ORD1092</t>
  </si>
  <si>
    <t>2024-10-16</t>
  </si>
  <si>
    <t>ORD1083</t>
  </si>
  <si>
    <t>ORD1061</t>
  </si>
  <si>
    <t>2024-01-01</t>
  </si>
  <si>
    <t>ORD1089</t>
  </si>
  <si>
    <t>ORD1031</t>
  </si>
  <si>
    <t>2024-02-25</t>
  </si>
  <si>
    <t>ORD1098</t>
  </si>
  <si>
    <t>2024-04-18</t>
  </si>
  <si>
    <t>Total_Sales</t>
  </si>
  <si>
    <t>Profit_Margin_%</t>
  </si>
  <si>
    <t>Sales by Region</t>
  </si>
  <si>
    <t>Total Sales</t>
  </si>
  <si>
    <t>Total Profit</t>
  </si>
  <si>
    <t>Avg Profit Margin %</t>
  </si>
  <si>
    <t>TOTAL</t>
  </si>
  <si>
    <t>Sales by Product</t>
  </si>
  <si>
    <t>Monthly Sales Trend (2024)</t>
  </si>
  <si>
    <t>Month</t>
  </si>
  <si>
    <t>Month_Num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</si>
  <si>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</si>
  <si>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</si>
  <si>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</si>
  <si>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</si>
  <si>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</si>
  <si>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</si>
  <si>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</si>
  <si>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</si>
  <si>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</si>
  <si>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</si>
  <si>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</si>
  <si>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</si>
  <si>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📊 KPI Summary Dashboard</t>
  </si>
  <si>
    <t>Total Revenue</t>
  </si>
  <si>
    <t>Overall Profit Margin %</t>
  </si>
  <si>
    <t>Total Orders</t>
  </si>
  <si>
    <t>Avg Order Value</t>
  </si>
  <si>
    <t>Best Region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</si>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</sst>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3"/>
      <color rgb="FF1F4E79"/>
      <name val="Arial"/>
    </font>
    <font>
      <b/>
      <sz val="11"/>
      <name val="Arial"/>
    </font>
    <font>
      <b/>
      <sz val="14"/>
      <color rgb="FF1F4E79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BDD7EE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0" fillId="0" borderId="0" xfId="0" applyNumberFormat="1"/>
    <xf numFmtId="0" fontId="2" fillId="0" borderId="0" xfId="0" applyFont="1"/>
    <xf numFmtId="0" fontId="3" fillId="4" borderId="0" xfId="0" applyFont="1" applyFill="1"/>
    <xf numFmtId="0" fontId="3" fillId="0" borderId="0" xfId="0" applyFont="1"/>
    <xf numFmtId="0" fontId="4" fillId="0" borderId="0" xfId="0" applyFont="1"/>
    <xf numFmtId="0" fontId="5" fillId="5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0" customWidth="1"/>
    <col min="4" max="5" width="18" customWidth="1"/>
    <col min="6" max="6" width="15" customWidth="1"/>
    <col min="7" max="7" width="12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6394.94</v>
      </c>
      <c r="G2">
        <v>2187.35</v>
      </c>
      <c r="H2">
        <v>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88267.57</v>
      </c>
      <c r="G3">
        <v>20557.740000000002</v>
      </c>
      <c r="H3">
        <v>5</v>
      </c>
    </row>
    <row r="4" spans="1:8" x14ac:dyDescent="0.25">
      <c r="A4" t="s">
        <v>18</v>
      </c>
      <c r="B4" t="s">
        <v>19</v>
      </c>
      <c r="C4" t="s">
        <v>15</v>
      </c>
      <c r="D4" t="s">
        <v>20</v>
      </c>
      <c r="E4" t="s">
        <v>21</v>
      </c>
      <c r="F4">
        <v>150447.35999999999</v>
      </c>
      <c r="G4">
        <v>19931.060000000001</v>
      </c>
      <c r="H4">
        <v>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12</v>
      </c>
      <c r="F5">
        <v>9584.44</v>
      </c>
      <c r="G5">
        <v>3759.3</v>
      </c>
      <c r="H5">
        <v>9</v>
      </c>
    </row>
    <row r="6" spans="1:8" x14ac:dyDescent="0.25">
      <c r="A6" t="s">
        <v>26</v>
      </c>
      <c r="B6" t="s">
        <v>27</v>
      </c>
      <c r="C6" t="s">
        <v>24</v>
      </c>
      <c r="D6" t="s">
        <v>28</v>
      </c>
      <c r="E6" t="s">
        <v>12</v>
      </c>
      <c r="F6">
        <v>2509.81</v>
      </c>
      <c r="G6">
        <v>987.17</v>
      </c>
      <c r="H6">
        <v>9</v>
      </c>
    </row>
    <row r="7" spans="1:8" x14ac:dyDescent="0.25">
      <c r="A7" t="s">
        <v>29</v>
      </c>
      <c r="B7" t="s">
        <v>30</v>
      </c>
      <c r="C7" t="s">
        <v>24</v>
      </c>
      <c r="D7" t="s">
        <v>16</v>
      </c>
      <c r="E7" t="s">
        <v>17</v>
      </c>
      <c r="F7">
        <v>78838.27</v>
      </c>
      <c r="G7">
        <v>21761.75</v>
      </c>
      <c r="H7">
        <v>4</v>
      </c>
    </row>
    <row r="8" spans="1:8" x14ac:dyDescent="0.25">
      <c r="A8" t="s">
        <v>31</v>
      </c>
      <c r="B8" t="s">
        <v>32</v>
      </c>
      <c r="C8" t="s">
        <v>33</v>
      </c>
      <c r="D8" t="s">
        <v>34</v>
      </c>
      <c r="E8" t="s">
        <v>12</v>
      </c>
      <c r="F8">
        <v>14775.38</v>
      </c>
      <c r="G8">
        <v>5677.96</v>
      </c>
      <c r="H8">
        <v>4</v>
      </c>
    </row>
    <row r="9" spans="1:8" x14ac:dyDescent="0.25">
      <c r="A9" t="s">
        <v>35</v>
      </c>
      <c r="B9" t="s">
        <v>36</v>
      </c>
      <c r="C9" t="s">
        <v>15</v>
      </c>
      <c r="D9" t="s">
        <v>28</v>
      </c>
      <c r="E9" t="s">
        <v>12</v>
      </c>
      <c r="F9">
        <v>261.39</v>
      </c>
      <c r="G9">
        <v>94.91</v>
      </c>
      <c r="H9">
        <v>1</v>
      </c>
    </row>
    <row r="10" spans="1:8" x14ac:dyDescent="0.25">
      <c r="A10" t="s">
        <v>37</v>
      </c>
      <c r="B10" t="s">
        <v>38</v>
      </c>
      <c r="C10" t="s">
        <v>24</v>
      </c>
      <c r="D10" t="s">
        <v>39</v>
      </c>
      <c r="E10" t="s">
        <v>12</v>
      </c>
      <c r="F10">
        <v>567.44000000000005</v>
      </c>
      <c r="G10">
        <v>181.54</v>
      </c>
      <c r="H10">
        <v>1</v>
      </c>
    </row>
    <row r="11" spans="1:8" x14ac:dyDescent="0.25">
      <c r="A11" t="s">
        <v>40</v>
      </c>
      <c r="B11" t="s">
        <v>41</v>
      </c>
      <c r="C11" t="s">
        <v>24</v>
      </c>
      <c r="D11" t="s">
        <v>28</v>
      </c>
      <c r="E11" t="s">
        <v>12</v>
      </c>
      <c r="F11">
        <v>943.13</v>
      </c>
      <c r="G11">
        <v>372.24</v>
      </c>
      <c r="H11">
        <v>3</v>
      </c>
    </row>
    <row r="12" spans="1:8" x14ac:dyDescent="0.25">
      <c r="A12" t="s">
        <v>42</v>
      </c>
      <c r="B12" t="s">
        <v>14</v>
      </c>
      <c r="C12" t="s">
        <v>24</v>
      </c>
      <c r="D12" t="s">
        <v>43</v>
      </c>
      <c r="E12" t="s">
        <v>21</v>
      </c>
      <c r="F12">
        <v>112003.37</v>
      </c>
      <c r="G12">
        <v>16972.02</v>
      </c>
      <c r="H12">
        <v>6</v>
      </c>
    </row>
    <row r="13" spans="1:8" x14ac:dyDescent="0.25">
      <c r="A13" t="s">
        <v>44</v>
      </c>
      <c r="B13" t="s">
        <v>45</v>
      </c>
      <c r="C13" t="s">
        <v>24</v>
      </c>
      <c r="D13" t="s">
        <v>20</v>
      </c>
      <c r="E13" t="s">
        <v>21</v>
      </c>
      <c r="F13">
        <v>173683.91</v>
      </c>
      <c r="G13">
        <v>25232.89</v>
      </c>
      <c r="H13">
        <v>4</v>
      </c>
    </row>
    <row r="14" spans="1:8" x14ac:dyDescent="0.25">
      <c r="A14" t="s">
        <v>46</v>
      </c>
      <c r="B14" t="s">
        <v>47</v>
      </c>
      <c r="C14" t="s">
        <v>24</v>
      </c>
      <c r="D14" t="s">
        <v>25</v>
      </c>
      <c r="E14" t="s">
        <v>12</v>
      </c>
      <c r="F14">
        <v>5179.3599999999997</v>
      </c>
      <c r="G14">
        <v>1726.57</v>
      </c>
      <c r="H14">
        <v>5</v>
      </c>
    </row>
    <row r="15" spans="1:8" x14ac:dyDescent="0.2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>
        <v>102924.42</v>
      </c>
      <c r="G15">
        <v>26883.42</v>
      </c>
      <c r="H15">
        <v>10</v>
      </c>
    </row>
    <row r="16" spans="1:8" x14ac:dyDescent="0.25">
      <c r="A16" t="s">
        <v>51</v>
      </c>
      <c r="B16" t="s">
        <v>52</v>
      </c>
      <c r="C16" t="s">
        <v>24</v>
      </c>
      <c r="D16" t="s">
        <v>34</v>
      </c>
      <c r="E16" t="s">
        <v>12</v>
      </c>
      <c r="F16">
        <v>3992.45</v>
      </c>
      <c r="G16">
        <v>1567.58</v>
      </c>
      <c r="H16">
        <v>1</v>
      </c>
    </row>
    <row r="17" spans="1:8" x14ac:dyDescent="0.25">
      <c r="A17" t="s">
        <v>53</v>
      </c>
      <c r="B17" t="s">
        <v>54</v>
      </c>
      <c r="C17" t="s">
        <v>10</v>
      </c>
      <c r="D17" t="s">
        <v>20</v>
      </c>
      <c r="E17" t="s">
        <v>21</v>
      </c>
      <c r="F17">
        <v>156457.4</v>
      </c>
      <c r="G17">
        <v>20668.560000000001</v>
      </c>
      <c r="H17">
        <v>4</v>
      </c>
    </row>
    <row r="18" spans="1:8" x14ac:dyDescent="0.25">
      <c r="A18" t="s">
        <v>55</v>
      </c>
      <c r="B18" t="s">
        <v>56</v>
      </c>
      <c r="C18" t="s">
        <v>33</v>
      </c>
      <c r="D18" t="s">
        <v>20</v>
      </c>
      <c r="E18" t="s">
        <v>21</v>
      </c>
      <c r="F18">
        <v>409735.74</v>
      </c>
      <c r="G18">
        <v>83873.47</v>
      </c>
      <c r="H18">
        <v>9</v>
      </c>
    </row>
    <row r="19" spans="1:8" x14ac:dyDescent="0.25">
      <c r="A19" t="s">
        <v>57</v>
      </c>
      <c r="B19" t="s">
        <v>58</v>
      </c>
      <c r="C19" t="s">
        <v>24</v>
      </c>
      <c r="D19" t="s">
        <v>28</v>
      </c>
      <c r="E19" t="s">
        <v>12</v>
      </c>
      <c r="F19">
        <v>2324.1799999999998</v>
      </c>
      <c r="G19">
        <v>783.07</v>
      </c>
      <c r="H19">
        <v>9</v>
      </c>
    </row>
    <row r="20" spans="1:8" x14ac:dyDescent="0.25">
      <c r="A20" t="s">
        <v>59</v>
      </c>
      <c r="B20" t="s">
        <v>60</v>
      </c>
      <c r="C20" t="s">
        <v>24</v>
      </c>
      <c r="D20" t="s">
        <v>61</v>
      </c>
      <c r="E20" t="s">
        <v>17</v>
      </c>
      <c r="F20">
        <v>91150.5</v>
      </c>
      <c r="G20">
        <v>24754.42</v>
      </c>
      <c r="H20">
        <v>6</v>
      </c>
    </row>
    <row r="21" spans="1:8" x14ac:dyDescent="0.25">
      <c r="A21" t="s">
        <v>62</v>
      </c>
      <c r="B21" t="s">
        <v>63</v>
      </c>
      <c r="C21" t="s">
        <v>15</v>
      </c>
      <c r="D21" t="s">
        <v>64</v>
      </c>
      <c r="E21" t="s">
        <v>21</v>
      </c>
      <c r="F21">
        <v>17686.439999999999</v>
      </c>
      <c r="G21">
        <v>2420.4299999999998</v>
      </c>
      <c r="H21">
        <v>2</v>
      </c>
    </row>
    <row r="22" spans="1:8" x14ac:dyDescent="0.25">
      <c r="A22" t="s">
        <v>65</v>
      </c>
      <c r="B22" t="s">
        <v>9</v>
      </c>
      <c r="C22" t="s">
        <v>24</v>
      </c>
      <c r="D22" t="s">
        <v>28</v>
      </c>
      <c r="E22" t="s">
        <v>12</v>
      </c>
      <c r="F22">
        <v>2885.59</v>
      </c>
      <c r="G22">
        <v>912.83</v>
      </c>
      <c r="H22">
        <v>9</v>
      </c>
    </row>
    <row r="23" spans="1:8" x14ac:dyDescent="0.25">
      <c r="A23" t="s">
        <v>66</v>
      </c>
      <c r="B23" t="s">
        <v>67</v>
      </c>
      <c r="C23" t="s">
        <v>10</v>
      </c>
      <c r="D23" t="s">
        <v>20</v>
      </c>
      <c r="E23" t="s">
        <v>21</v>
      </c>
      <c r="F23">
        <v>400692.81</v>
      </c>
      <c r="G23">
        <v>74424.91</v>
      </c>
      <c r="H23">
        <v>9</v>
      </c>
    </row>
    <row r="24" spans="1:8" x14ac:dyDescent="0.25">
      <c r="A24" t="s">
        <v>68</v>
      </c>
      <c r="B24" t="s">
        <v>69</v>
      </c>
      <c r="C24" t="s">
        <v>10</v>
      </c>
      <c r="D24" t="s">
        <v>28</v>
      </c>
      <c r="E24" t="s">
        <v>12</v>
      </c>
      <c r="F24">
        <v>1895.97</v>
      </c>
      <c r="G24">
        <v>667.71</v>
      </c>
      <c r="H24">
        <v>7</v>
      </c>
    </row>
    <row r="25" spans="1:8" x14ac:dyDescent="0.25">
      <c r="A25" t="s">
        <v>70</v>
      </c>
      <c r="B25" t="s">
        <v>27</v>
      </c>
      <c r="C25" t="s">
        <v>15</v>
      </c>
      <c r="D25" t="s">
        <v>71</v>
      </c>
      <c r="E25" t="s">
        <v>21</v>
      </c>
      <c r="F25">
        <v>290861.94</v>
      </c>
      <c r="G25">
        <v>45915.55</v>
      </c>
      <c r="H25">
        <v>4</v>
      </c>
    </row>
    <row r="26" spans="1:8" x14ac:dyDescent="0.25">
      <c r="A26" t="s">
        <v>72</v>
      </c>
      <c r="B26" t="s">
        <v>73</v>
      </c>
      <c r="C26" t="s">
        <v>24</v>
      </c>
      <c r="D26" t="s">
        <v>25</v>
      </c>
      <c r="E26" t="s">
        <v>12</v>
      </c>
      <c r="F26">
        <v>1030.73</v>
      </c>
      <c r="G26">
        <v>331.75</v>
      </c>
      <c r="H26">
        <v>1</v>
      </c>
    </row>
    <row r="27" spans="1:8" x14ac:dyDescent="0.25">
      <c r="A27" t="s">
        <v>74</v>
      </c>
      <c r="B27" t="s">
        <v>75</v>
      </c>
      <c r="C27" t="s">
        <v>33</v>
      </c>
      <c r="D27" t="s">
        <v>20</v>
      </c>
      <c r="E27" t="s">
        <v>21</v>
      </c>
      <c r="H27">
        <v>2</v>
      </c>
    </row>
    <row r="28" spans="1:8" x14ac:dyDescent="0.25">
      <c r="A28" t="s">
        <v>76</v>
      </c>
      <c r="B28" t="s">
        <v>77</v>
      </c>
      <c r="C28" t="s">
        <v>24</v>
      </c>
      <c r="D28" t="s">
        <v>11</v>
      </c>
      <c r="E28" t="s">
        <v>12</v>
      </c>
      <c r="F28">
        <v>5477.4</v>
      </c>
      <c r="G28">
        <v>2152.12</v>
      </c>
      <c r="H28">
        <v>8</v>
      </c>
    </row>
    <row r="29" spans="1:8" x14ac:dyDescent="0.25">
      <c r="A29" t="s">
        <v>78</v>
      </c>
      <c r="B29" t="s">
        <v>79</v>
      </c>
      <c r="C29" t="s">
        <v>33</v>
      </c>
      <c r="D29" t="s">
        <v>80</v>
      </c>
      <c r="E29" t="s">
        <v>21</v>
      </c>
      <c r="F29">
        <v>186745.33</v>
      </c>
      <c r="G29">
        <v>36331.32</v>
      </c>
      <c r="H29">
        <v>7</v>
      </c>
    </row>
    <row r="30" spans="1:8" x14ac:dyDescent="0.25">
      <c r="A30" t="s">
        <v>74</v>
      </c>
      <c r="B30" t="s">
        <v>75</v>
      </c>
      <c r="C30" t="s">
        <v>33</v>
      </c>
      <c r="D30" t="s">
        <v>20</v>
      </c>
      <c r="E30" t="s">
        <v>21</v>
      </c>
      <c r="F30">
        <v>86049.32</v>
      </c>
      <c r="G30">
        <v>16004.17</v>
      </c>
      <c r="H30">
        <v>2</v>
      </c>
    </row>
    <row r="31" spans="1:8" x14ac:dyDescent="0.25">
      <c r="A31" t="s">
        <v>81</v>
      </c>
      <c r="B31" t="s">
        <v>82</v>
      </c>
      <c r="C31" t="s">
        <v>10</v>
      </c>
      <c r="D31" t="s">
        <v>43</v>
      </c>
      <c r="E31" t="s">
        <v>21</v>
      </c>
      <c r="F31">
        <v>206346.19</v>
      </c>
      <c r="G31">
        <v>39111.94</v>
      </c>
      <c r="H31">
        <v>9</v>
      </c>
    </row>
    <row r="32" spans="1:8" x14ac:dyDescent="0.25">
      <c r="A32" t="s">
        <v>83</v>
      </c>
      <c r="B32" t="s">
        <v>84</v>
      </c>
      <c r="C32" t="s">
        <v>15</v>
      </c>
      <c r="D32" t="s">
        <v>34</v>
      </c>
      <c r="E32" t="s">
        <v>12</v>
      </c>
      <c r="F32">
        <v>17006.89</v>
      </c>
      <c r="G32">
        <v>6519.97</v>
      </c>
      <c r="H32">
        <v>5</v>
      </c>
    </row>
    <row r="33" spans="1:8" x14ac:dyDescent="0.25">
      <c r="A33" t="s">
        <v>85</v>
      </c>
      <c r="B33" t="s">
        <v>86</v>
      </c>
      <c r="C33" t="s">
        <v>24</v>
      </c>
      <c r="D33" t="s">
        <v>43</v>
      </c>
      <c r="E33" t="s">
        <v>21</v>
      </c>
      <c r="F33">
        <v>38307.75</v>
      </c>
      <c r="G33">
        <v>6297.62</v>
      </c>
      <c r="H33">
        <v>2</v>
      </c>
    </row>
    <row r="34" spans="1:8" x14ac:dyDescent="0.25">
      <c r="A34" t="s">
        <v>87</v>
      </c>
      <c r="B34" t="s">
        <v>88</v>
      </c>
      <c r="C34" t="s">
        <v>15</v>
      </c>
      <c r="D34" t="s">
        <v>50</v>
      </c>
      <c r="E34" t="s">
        <v>17</v>
      </c>
      <c r="F34">
        <v>53277.36</v>
      </c>
      <c r="G34">
        <v>14279</v>
      </c>
      <c r="H34">
        <v>4</v>
      </c>
    </row>
    <row r="35" spans="1:8" x14ac:dyDescent="0.25">
      <c r="A35" t="s">
        <v>89</v>
      </c>
      <c r="B35" t="s">
        <v>9</v>
      </c>
      <c r="C35" t="s">
        <v>10</v>
      </c>
      <c r="D35" t="s">
        <v>90</v>
      </c>
      <c r="E35" t="s">
        <v>17</v>
      </c>
      <c r="F35">
        <v>27675.49</v>
      </c>
      <c r="G35">
        <v>8484.18</v>
      </c>
      <c r="H35">
        <v>1</v>
      </c>
    </row>
    <row r="36" spans="1:8" x14ac:dyDescent="0.25">
      <c r="A36" t="s">
        <v>91</v>
      </c>
      <c r="B36" t="s">
        <v>92</v>
      </c>
      <c r="C36" t="s">
        <v>10</v>
      </c>
      <c r="D36" t="s">
        <v>11</v>
      </c>
      <c r="E36" t="s">
        <v>12</v>
      </c>
      <c r="F36">
        <v>7979.28</v>
      </c>
      <c r="G36">
        <v>2402.9499999999998</v>
      </c>
      <c r="H36">
        <v>9</v>
      </c>
    </row>
    <row r="37" spans="1:8" x14ac:dyDescent="0.25">
      <c r="A37" t="s">
        <v>93</v>
      </c>
      <c r="B37" t="s">
        <v>94</v>
      </c>
      <c r="C37" t="s">
        <v>33</v>
      </c>
      <c r="D37" t="s">
        <v>34</v>
      </c>
      <c r="E37" t="s">
        <v>12</v>
      </c>
      <c r="F37">
        <v>27704.94</v>
      </c>
      <c r="G37">
        <v>10599.17</v>
      </c>
      <c r="H37">
        <v>8</v>
      </c>
    </row>
    <row r="38" spans="1:8" x14ac:dyDescent="0.25">
      <c r="A38" t="s">
        <v>95</v>
      </c>
      <c r="B38" t="s">
        <v>96</v>
      </c>
      <c r="C38" t="s">
        <v>24</v>
      </c>
      <c r="D38" t="s">
        <v>25</v>
      </c>
      <c r="E38" t="s">
        <v>12</v>
      </c>
      <c r="F38">
        <v>7693.66</v>
      </c>
      <c r="G38">
        <v>2549.4299999999998</v>
      </c>
      <c r="H38">
        <v>6</v>
      </c>
    </row>
    <row r="39" spans="1:8" x14ac:dyDescent="0.25">
      <c r="A39" t="s">
        <v>97</v>
      </c>
      <c r="B39" t="s">
        <v>98</v>
      </c>
      <c r="C39" t="s">
        <v>15</v>
      </c>
      <c r="D39" t="s">
        <v>20</v>
      </c>
      <c r="E39" t="s">
        <v>21</v>
      </c>
      <c r="F39">
        <v>510338.18</v>
      </c>
      <c r="G39">
        <v>70715.19</v>
      </c>
      <c r="H39">
        <v>10</v>
      </c>
    </row>
    <row r="40" spans="1:8" x14ac:dyDescent="0.25">
      <c r="A40" t="s">
        <v>99</v>
      </c>
      <c r="B40" t="s">
        <v>100</v>
      </c>
      <c r="C40" t="s">
        <v>33</v>
      </c>
      <c r="D40" t="s">
        <v>16</v>
      </c>
      <c r="E40" t="s">
        <v>17</v>
      </c>
      <c r="F40">
        <v>33612.43</v>
      </c>
      <c r="G40">
        <v>9246.11</v>
      </c>
      <c r="H40">
        <v>2</v>
      </c>
    </row>
    <row r="41" spans="1:8" x14ac:dyDescent="0.25">
      <c r="A41" t="s">
        <v>101</v>
      </c>
      <c r="B41" t="s">
        <v>102</v>
      </c>
      <c r="C41" t="s">
        <v>33</v>
      </c>
      <c r="D41" t="s">
        <v>71</v>
      </c>
      <c r="E41" t="s">
        <v>21</v>
      </c>
      <c r="F41">
        <v>605228.19999999995</v>
      </c>
      <c r="G41">
        <v>95732.35</v>
      </c>
      <c r="H41">
        <v>9</v>
      </c>
    </row>
    <row r="42" spans="1:8" x14ac:dyDescent="0.25">
      <c r="A42" t="s">
        <v>103</v>
      </c>
      <c r="B42" t="s">
        <v>104</v>
      </c>
      <c r="C42" t="s">
        <v>15</v>
      </c>
      <c r="D42" t="s">
        <v>16</v>
      </c>
      <c r="E42" t="s">
        <v>17</v>
      </c>
      <c r="H42">
        <v>1</v>
      </c>
    </row>
    <row r="43" spans="1:8" x14ac:dyDescent="0.25">
      <c r="A43" t="s">
        <v>105</v>
      </c>
      <c r="B43" t="s">
        <v>106</v>
      </c>
      <c r="C43" t="s">
        <v>33</v>
      </c>
      <c r="D43" t="s">
        <v>43</v>
      </c>
      <c r="E43" t="s">
        <v>21</v>
      </c>
      <c r="F43">
        <v>191106.04</v>
      </c>
      <c r="G43">
        <v>35563.050000000003</v>
      </c>
      <c r="H43">
        <v>9</v>
      </c>
    </row>
    <row r="44" spans="1:8" x14ac:dyDescent="0.25">
      <c r="A44" t="s">
        <v>107</v>
      </c>
      <c r="B44" t="s">
        <v>82</v>
      </c>
      <c r="C44" t="s">
        <v>33</v>
      </c>
      <c r="D44" t="s">
        <v>43</v>
      </c>
      <c r="E44" t="s">
        <v>21</v>
      </c>
      <c r="F44">
        <v>206399.69</v>
      </c>
      <c r="G44">
        <v>33483.17</v>
      </c>
      <c r="H44">
        <v>10</v>
      </c>
    </row>
    <row r="45" spans="1:8" x14ac:dyDescent="0.25">
      <c r="A45" t="s">
        <v>108</v>
      </c>
      <c r="B45" t="s">
        <v>49</v>
      </c>
      <c r="C45" t="s">
        <v>24</v>
      </c>
      <c r="D45" t="s">
        <v>80</v>
      </c>
      <c r="E45" t="s">
        <v>21</v>
      </c>
      <c r="F45">
        <v>110035.59</v>
      </c>
      <c r="G45">
        <v>22408.43</v>
      </c>
      <c r="H45">
        <v>4</v>
      </c>
    </row>
    <row r="46" spans="1:8" x14ac:dyDescent="0.25">
      <c r="A46" t="s">
        <v>109</v>
      </c>
      <c r="B46" t="s">
        <v>110</v>
      </c>
      <c r="C46" t="s">
        <v>33</v>
      </c>
      <c r="D46" t="s">
        <v>34</v>
      </c>
      <c r="E46" t="s">
        <v>12</v>
      </c>
      <c r="F46">
        <v>21487.32</v>
      </c>
      <c r="G46">
        <v>7960.13</v>
      </c>
      <c r="H46">
        <v>6</v>
      </c>
    </row>
    <row r="47" spans="1:8" x14ac:dyDescent="0.25">
      <c r="A47" t="s">
        <v>111</v>
      </c>
      <c r="B47" t="s">
        <v>112</v>
      </c>
      <c r="C47" t="s">
        <v>33</v>
      </c>
      <c r="D47" t="s">
        <v>43</v>
      </c>
      <c r="E47" t="s">
        <v>21</v>
      </c>
      <c r="F47">
        <v>141065.87</v>
      </c>
      <c r="G47">
        <v>31892</v>
      </c>
      <c r="H47">
        <v>8</v>
      </c>
    </row>
    <row r="48" spans="1:8" x14ac:dyDescent="0.25">
      <c r="A48" t="s">
        <v>113</v>
      </c>
      <c r="B48" t="s">
        <v>114</v>
      </c>
      <c r="C48" t="s">
        <v>10</v>
      </c>
      <c r="D48" t="s">
        <v>25</v>
      </c>
      <c r="E48" t="s">
        <v>12</v>
      </c>
      <c r="F48">
        <v>3863.15</v>
      </c>
      <c r="G48">
        <v>1342.32</v>
      </c>
      <c r="H48">
        <v>3</v>
      </c>
    </row>
    <row r="49" spans="1:8" x14ac:dyDescent="0.25">
      <c r="A49" t="s">
        <v>115</v>
      </c>
      <c r="B49" t="s">
        <v>116</v>
      </c>
      <c r="C49" t="s">
        <v>24</v>
      </c>
      <c r="D49" t="s">
        <v>28</v>
      </c>
      <c r="E49" t="s">
        <v>12</v>
      </c>
      <c r="F49">
        <v>2634.81</v>
      </c>
      <c r="G49">
        <v>908.8</v>
      </c>
      <c r="H49">
        <v>9</v>
      </c>
    </row>
    <row r="50" spans="1:8" x14ac:dyDescent="0.25">
      <c r="A50" t="s">
        <v>117</v>
      </c>
      <c r="B50" t="s">
        <v>118</v>
      </c>
      <c r="C50" t="s">
        <v>24</v>
      </c>
      <c r="D50" t="s">
        <v>50</v>
      </c>
      <c r="E50" t="s">
        <v>17</v>
      </c>
      <c r="F50">
        <v>93487.57</v>
      </c>
      <c r="G50">
        <v>30401.41</v>
      </c>
      <c r="H50">
        <v>9</v>
      </c>
    </row>
    <row r="51" spans="1:8" x14ac:dyDescent="0.25">
      <c r="A51" t="s">
        <v>119</v>
      </c>
      <c r="B51" t="s">
        <v>120</v>
      </c>
      <c r="C51" t="s">
        <v>10</v>
      </c>
      <c r="D51" t="s">
        <v>28</v>
      </c>
      <c r="E51" t="s">
        <v>12</v>
      </c>
      <c r="F51">
        <v>2678.28</v>
      </c>
      <c r="G51">
        <v>1044.8499999999999</v>
      </c>
      <c r="H51">
        <v>9</v>
      </c>
    </row>
    <row r="52" spans="1:8" x14ac:dyDescent="0.25">
      <c r="A52" t="s">
        <v>121</v>
      </c>
      <c r="B52" t="s">
        <v>122</v>
      </c>
      <c r="C52" t="s">
        <v>24</v>
      </c>
      <c r="D52" t="s">
        <v>28</v>
      </c>
      <c r="E52" t="s">
        <v>12</v>
      </c>
      <c r="F52">
        <v>553.44000000000005</v>
      </c>
      <c r="G52">
        <v>188.53</v>
      </c>
      <c r="H52">
        <v>2</v>
      </c>
    </row>
    <row r="53" spans="1:8" x14ac:dyDescent="0.25">
      <c r="A53" t="s">
        <v>123</v>
      </c>
      <c r="B53" t="s">
        <v>124</v>
      </c>
      <c r="C53" t="s">
        <v>33</v>
      </c>
      <c r="D53" t="s">
        <v>11</v>
      </c>
      <c r="E53" t="s">
        <v>12</v>
      </c>
      <c r="F53">
        <v>1500.88</v>
      </c>
      <c r="G53">
        <v>474</v>
      </c>
      <c r="H53">
        <v>2</v>
      </c>
    </row>
    <row r="54" spans="1:8" x14ac:dyDescent="0.25">
      <c r="A54" t="s">
        <v>125</v>
      </c>
      <c r="B54" t="s">
        <v>126</v>
      </c>
      <c r="C54" t="s">
        <v>33</v>
      </c>
      <c r="D54" t="s">
        <v>80</v>
      </c>
      <c r="E54" t="s">
        <v>21</v>
      </c>
      <c r="F54">
        <v>164313.38</v>
      </c>
      <c r="G54">
        <v>25747.54</v>
      </c>
      <c r="H54">
        <v>6</v>
      </c>
    </row>
    <row r="55" spans="1:8" x14ac:dyDescent="0.25">
      <c r="A55" t="s">
        <v>127</v>
      </c>
      <c r="B55" t="s">
        <v>128</v>
      </c>
      <c r="C55" t="s">
        <v>10</v>
      </c>
      <c r="D55" t="s">
        <v>80</v>
      </c>
      <c r="E55" t="s">
        <v>21</v>
      </c>
      <c r="F55">
        <v>161406.38</v>
      </c>
      <c r="G55">
        <v>34758.019999999997</v>
      </c>
      <c r="H55">
        <v>5</v>
      </c>
    </row>
    <row r="56" spans="1:8" x14ac:dyDescent="0.25">
      <c r="A56" t="s">
        <v>129</v>
      </c>
      <c r="B56" t="s">
        <v>130</v>
      </c>
      <c r="C56" t="s">
        <v>10</v>
      </c>
      <c r="D56" t="s">
        <v>28</v>
      </c>
      <c r="E56" t="s">
        <v>12</v>
      </c>
      <c r="F56">
        <v>2702.07</v>
      </c>
      <c r="G56">
        <v>1075.6199999999999</v>
      </c>
      <c r="H56">
        <v>8</v>
      </c>
    </row>
    <row r="57" spans="1:8" x14ac:dyDescent="0.25">
      <c r="A57" t="s">
        <v>131</v>
      </c>
      <c r="B57" t="s">
        <v>132</v>
      </c>
      <c r="C57" t="s">
        <v>15</v>
      </c>
      <c r="D57" t="s">
        <v>80</v>
      </c>
      <c r="E57" t="s">
        <v>21</v>
      </c>
      <c r="F57">
        <v>91063.23</v>
      </c>
      <c r="G57">
        <v>18928.64</v>
      </c>
      <c r="H57">
        <v>3</v>
      </c>
    </row>
    <row r="58" spans="1:8" x14ac:dyDescent="0.25">
      <c r="A58" t="s">
        <v>133</v>
      </c>
      <c r="B58" t="s">
        <v>134</v>
      </c>
      <c r="C58" t="s">
        <v>33</v>
      </c>
      <c r="D58" t="s">
        <v>135</v>
      </c>
      <c r="E58" t="s">
        <v>17</v>
      </c>
      <c r="F58">
        <v>50134.32</v>
      </c>
      <c r="G58">
        <v>15046.23</v>
      </c>
      <c r="H58">
        <v>5</v>
      </c>
    </row>
    <row r="59" spans="1:8" x14ac:dyDescent="0.25">
      <c r="A59" t="s">
        <v>136</v>
      </c>
      <c r="B59" t="s">
        <v>88</v>
      </c>
      <c r="C59" t="s">
        <v>15</v>
      </c>
      <c r="D59" t="s">
        <v>16</v>
      </c>
      <c r="E59" t="s">
        <v>17</v>
      </c>
      <c r="F59">
        <v>16704.84</v>
      </c>
      <c r="G59">
        <v>4388.95</v>
      </c>
      <c r="H59">
        <v>1</v>
      </c>
    </row>
    <row r="60" spans="1:8" x14ac:dyDescent="0.25">
      <c r="A60" t="s">
        <v>137</v>
      </c>
      <c r="B60" t="s">
        <v>138</v>
      </c>
      <c r="C60" t="s">
        <v>10</v>
      </c>
      <c r="D60" t="s">
        <v>16</v>
      </c>
      <c r="E60" t="s">
        <v>17</v>
      </c>
      <c r="F60">
        <v>54154.33</v>
      </c>
      <c r="G60">
        <v>12947.81</v>
      </c>
      <c r="H60">
        <v>3</v>
      </c>
    </row>
    <row r="61" spans="1:8" x14ac:dyDescent="0.25">
      <c r="A61" t="s">
        <v>139</v>
      </c>
      <c r="B61" t="s">
        <v>140</v>
      </c>
      <c r="C61" t="s">
        <v>33</v>
      </c>
      <c r="D61" t="s">
        <v>28</v>
      </c>
      <c r="E61" t="s">
        <v>12</v>
      </c>
      <c r="F61">
        <v>3034.23</v>
      </c>
      <c r="G61">
        <v>1174.4000000000001</v>
      </c>
      <c r="H61">
        <v>9</v>
      </c>
    </row>
    <row r="62" spans="1:8" x14ac:dyDescent="0.25">
      <c r="A62" t="s">
        <v>141</v>
      </c>
      <c r="B62" t="s">
        <v>142</v>
      </c>
      <c r="C62" t="s">
        <v>24</v>
      </c>
      <c r="D62" t="s">
        <v>61</v>
      </c>
      <c r="E62" t="s">
        <v>17</v>
      </c>
      <c r="F62">
        <v>136249.59</v>
      </c>
      <c r="G62">
        <v>40825.199999999997</v>
      </c>
      <c r="H62">
        <v>10</v>
      </c>
    </row>
    <row r="63" spans="1:8" x14ac:dyDescent="0.25">
      <c r="A63" t="s">
        <v>143</v>
      </c>
      <c r="B63" t="s">
        <v>144</v>
      </c>
      <c r="C63" t="s">
        <v>33</v>
      </c>
      <c r="D63" t="s">
        <v>43</v>
      </c>
      <c r="E63" t="s">
        <v>21</v>
      </c>
      <c r="F63">
        <v>156156.69</v>
      </c>
      <c r="G63">
        <v>30338.93</v>
      </c>
      <c r="H63">
        <v>7</v>
      </c>
    </row>
    <row r="64" spans="1:8" x14ac:dyDescent="0.25">
      <c r="A64" t="s">
        <v>145</v>
      </c>
      <c r="B64" t="s">
        <v>146</v>
      </c>
      <c r="C64" t="s">
        <v>33</v>
      </c>
      <c r="D64" t="s">
        <v>90</v>
      </c>
      <c r="E64" t="s">
        <v>17</v>
      </c>
      <c r="F64">
        <v>179287.81</v>
      </c>
      <c r="G64">
        <v>46555.81</v>
      </c>
      <c r="H64">
        <v>8</v>
      </c>
    </row>
    <row r="65" spans="1:8" x14ac:dyDescent="0.25">
      <c r="A65" t="s">
        <v>147</v>
      </c>
      <c r="B65" t="s">
        <v>88</v>
      </c>
      <c r="C65" t="s">
        <v>15</v>
      </c>
      <c r="D65" t="s">
        <v>50</v>
      </c>
      <c r="E65" t="s">
        <v>17</v>
      </c>
      <c r="F65">
        <v>78083.12</v>
      </c>
      <c r="G65">
        <v>24081.39</v>
      </c>
      <c r="H65">
        <v>7</v>
      </c>
    </row>
    <row r="66" spans="1:8" x14ac:dyDescent="0.25">
      <c r="A66" t="s">
        <v>148</v>
      </c>
      <c r="B66" t="s">
        <v>149</v>
      </c>
      <c r="C66" t="s">
        <v>15</v>
      </c>
      <c r="D66" t="s">
        <v>61</v>
      </c>
      <c r="E66" t="s">
        <v>17</v>
      </c>
      <c r="F66">
        <v>34039.870000000003</v>
      </c>
      <c r="G66">
        <v>10963.46</v>
      </c>
      <c r="H66">
        <v>2</v>
      </c>
    </row>
    <row r="67" spans="1:8" x14ac:dyDescent="0.25">
      <c r="A67" t="s">
        <v>150</v>
      </c>
      <c r="B67" t="s">
        <v>98</v>
      </c>
      <c r="C67" t="s">
        <v>24</v>
      </c>
      <c r="D67" t="s">
        <v>80</v>
      </c>
      <c r="E67" t="s">
        <v>21</v>
      </c>
      <c r="F67">
        <v>60254.81</v>
      </c>
      <c r="G67">
        <v>9511.08</v>
      </c>
      <c r="H67">
        <v>2</v>
      </c>
    </row>
    <row r="68" spans="1:8" x14ac:dyDescent="0.25">
      <c r="A68" t="s">
        <v>151</v>
      </c>
      <c r="B68" t="s">
        <v>152</v>
      </c>
      <c r="C68" t="s">
        <v>10</v>
      </c>
      <c r="D68" t="s">
        <v>16</v>
      </c>
      <c r="E68" t="s">
        <v>17</v>
      </c>
      <c r="F68">
        <v>36994.660000000003</v>
      </c>
      <c r="G68">
        <v>11581.44</v>
      </c>
      <c r="H68">
        <v>2</v>
      </c>
    </row>
    <row r="69" spans="1:8" x14ac:dyDescent="0.25">
      <c r="A69" t="s">
        <v>153</v>
      </c>
      <c r="B69" t="s">
        <v>154</v>
      </c>
      <c r="C69" t="s">
        <v>33</v>
      </c>
      <c r="D69" t="s">
        <v>34</v>
      </c>
      <c r="E69" t="s">
        <v>12</v>
      </c>
      <c r="F69">
        <v>27913.07</v>
      </c>
      <c r="G69">
        <v>10966.8</v>
      </c>
      <c r="H69">
        <v>7</v>
      </c>
    </row>
    <row r="70" spans="1:8" x14ac:dyDescent="0.25">
      <c r="A70" t="s">
        <v>155</v>
      </c>
      <c r="B70" t="s">
        <v>156</v>
      </c>
      <c r="C70" t="s">
        <v>33</v>
      </c>
      <c r="D70" t="s">
        <v>20</v>
      </c>
      <c r="E70" t="s">
        <v>21</v>
      </c>
      <c r="F70">
        <v>115739.23</v>
      </c>
      <c r="G70">
        <v>17879.89</v>
      </c>
      <c r="H70">
        <v>3</v>
      </c>
    </row>
    <row r="71" spans="1:8" x14ac:dyDescent="0.25">
      <c r="A71" t="s">
        <v>157</v>
      </c>
      <c r="B71" t="s">
        <v>158</v>
      </c>
      <c r="C71" t="s">
        <v>24</v>
      </c>
      <c r="D71" t="s">
        <v>11</v>
      </c>
      <c r="E71" t="s">
        <v>12</v>
      </c>
      <c r="F71">
        <v>2980.85</v>
      </c>
      <c r="G71">
        <v>989.56</v>
      </c>
      <c r="H71">
        <v>4</v>
      </c>
    </row>
    <row r="72" spans="1:8" x14ac:dyDescent="0.25">
      <c r="A72" t="s">
        <v>159</v>
      </c>
      <c r="B72" t="s">
        <v>160</v>
      </c>
      <c r="C72" t="s">
        <v>24</v>
      </c>
      <c r="D72" t="s">
        <v>90</v>
      </c>
      <c r="E72" t="s">
        <v>17</v>
      </c>
      <c r="F72">
        <v>251708.7</v>
      </c>
      <c r="G72">
        <v>81420.37</v>
      </c>
      <c r="H72">
        <v>10</v>
      </c>
    </row>
    <row r="73" spans="1:8" x14ac:dyDescent="0.25">
      <c r="A73" t="s">
        <v>161</v>
      </c>
      <c r="B73" t="s">
        <v>162</v>
      </c>
      <c r="C73" t="s">
        <v>15</v>
      </c>
      <c r="D73" t="s">
        <v>11</v>
      </c>
      <c r="E73" t="s">
        <v>12</v>
      </c>
      <c r="F73">
        <v>6431.85</v>
      </c>
      <c r="G73">
        <v>2347.5500000000002</v>
      </c>
      <c r="H73">
        <v>7</v>
      </c>
    </row>
    <row r="74" spans="1:8" x14ac:dyDescent="0.25">
      <c r="A74" t="s">
        <v>163</v>
      </c>
      <c r="B74" t="s">
        <v>164</v>
      </c>
      <c r="C74" t="s">
        <v>24</v>
      </c>
      <c r="D74" t="s">
        <v>20</v>
      </c>
      <c r="E74" t="s">
        <v>21</v>
      </c>
      <c r="F74">
        <v>324110.65000000002</v>
      </c>
      <c r="G74">
        <v>54605.1</v>
      </c>
      <c r="H74">
        <v>7</v>
      </c>
    </row>
    <row r="75" spans="1:8" x14ac:dyDescent="0.25">
      <c r="A75" t="s">
        <v>165</v>
      </c>
      <c r="B75" t="s">
        <v>166</v>
      </c>
      <c r="C75" t="s">
        <v>10</v>
      </c>
      <c r="D75" t="s">
        <v>71</v>
      </c>
      <c r="E75" t="s">
        <v>21</v>
      </c>
      <c r="F75">
        <v>157154.22</v>
      </c>
      <c r="G75">
        <v>25997.98</v>
      </c>
      <c r="H75">
        <v>2</v>
      </c>
    </row>
    <row r="76" spans="1:8" x14ac:dyDescent="0.25">
      <c r="A76" t="s">
        <v>167</v>
      </c>
      <c r="B76" t="s">
        <v>168</v>
      </c>
      <c r="C76" t="s">
        <v>10</v>
      </c>
      <c r="D76" t="s">
        <v>71</v>
      </c>
      <c r="E76" t="s">
        <v>21</v>
      </c>
      <c r="F76">
        <v>655444</v>
      </c>
      <c r="G76">
        <v>141311.56</v>
      </c>
      <c r="H76">
        <v>8</v>
      </c>
    </row>
    <row r="77" spans="1:8" x14ac:dyDescent="0.25">
      <c r="A77" t="s">
        <v>169</v>
      </c>
      <c r="B77" t="s">
        <v>170</v>
      </c>
      <c r="C77" t="s">
        <v>24</v>
      </c>
      <c r="D77" t="s">
        <v>90</v>
      </c>
      <c r="E77" t="s">
        <v>17</v>
      </c>
      <c r="F77">
        <v>183479.87</v>
      </c>
      <c r="G77">
        <v>43465.59</v>
      </c>
      <c r="H77">
        <v>7</v>
      </c>
    </row>
    <row r="78" spans="1:8" x14ac:dyDescent="0.25">
      <c r="A78" t="s">
        <v>171</v>
      </c>
      <c r="B78" t="s">
        <v>172</v>
      </c>
      <c r="C78" t="s">
        <v>15</v>
      </c>
      <c r="D78" t="s">
        <v>61</v>
      </c>
      <c r="E78" t="s">
        <v>17</v>
      </c>
      <c r="F78">
        <v>109694.9</v>
      </c>
      <c r="G78">
        <v>29629.03</v>
      </c>
      <c r="H78">
        <v>8</v>
      </c>
    </row>
    <row r="79" spans="1:8" x14ac:dyDescent="0.25">
      <c r="A79" t="s">
        <v>173</v>
      </c>
      <c r="B79" t="s">
        <v>174</v>
      </c>
      <c r="C79" t="s">
        <v>24</v>
      </c>
      <c r="D79" t="s">
        <v>80</v>
      </c>
      <c r="E79" t="s">
        <v>21</v>
      </c>
      <c r="F79">
        <v>92175.92</v>
      </c>
      <c r="G79">
        <v>21048.84</v>
      </c>
      <c r="H79">
        <v>3</v>
      </c>
    </row>
    <row r="80" spans="1:8" x14ac:dyDescent="0.25">
      <c r="A80" t="s">
        <v>175</v>
      </c>
      <c r="B80" t="s">
        <v>176</v>
      </c>
      <c r="C80" t="s">
        <v>24</v>
      </c>
      <c r="D80" t="s">
        <v>34</v>
      </c>
      <c r="E80" t="s">
        <v>12</v>
      </c>
      <c r="F80">
        <v>19766.72</v>
      </c>
      <c r="G80">
        <v>6134.77</v>
      </c>
      <c r="H80">
        <v>5</v>
      </c>
    </row>
    <row r="81" spans="1:8" x14ac:dyDescent="0.25">
      <c r="A81" t="s">
        <v>177</v>
      </c>
      <c r="B81" t="s">
        <v>178</v>
      </c>
      <c r="C81" t="s">
        <v>33</v>
      </c>
      <c r="D81" t="s">
        <v>71</v>
      </c>
      <c r="E81" t="s">
        <v>21</v>
      </c>
      <c r="F81">
        <v>621808.67000000004</v>
      </c>
      <c r="G81">
        <v>115842.56</v>
      </c>
      <c r="H81">
        <v>8</v>
      </c>
    </row>
    <row r="82" spans="1:8" x14ac:dyDescent="0.25">
      <c r="A82" t="s">
        <v>179</v>
      </c>
      <c r="B82" t="s">
        <v>180</v>
      </c>
      <c r="C82" t="s">
        <v>15</v>
      </c>
      <c r="D82" t="s">
        <v>20</v>
      </c>
      <c r="E82" t="s">
        <v>21</v>
      </c>
      <c r="F82">
        <v>378301.56</v>
      </c>
      <c r="G82">
        <v>70514.259999999995</v>
      </c>
      <c r="H82">
        <v>8</v>
      </c>
    </row>
    <row r="83" spans="1:8" x14ac:dyDescent="0.25">
      <c r="A83" t="s">
        <v>181</v>
      </c>
      <c r="B83" t="s">
        <v>182</v>
      </c>
      <c r="C83" t="s">
        <v>10</v>
      </c>
      <c r="D83" t="s">
        <v>28</v>
      </c>
      <c r="E83" t="s">
        <v>12</v>
      </c>
      <c r="F83">
        <v>1346.64</v>
      </c>
      <c r="G83">
        <v>498.43</v>
      </c>
      <c r="H83">
        <v>5</v>
      </c>
    </row>
    <row r="84" spans="1:8" x14ac:dyDescent="0.25">
      <c r="A84" t="s">
        <v>183</v>
      </c>
      <c r="B84" t="s">
        <v>184</v>
      </c>
      <c r="C84" t="s">
        <v>15</v>
      </c>
      <c r="D84" t="s">
        <v>135</v>
      </c>
      <c r="E84" t="s">
        <v>17</v>
      </c>
      <c r="F84">
        <v>26499.3</v>
      </c>
      <c r="G84">
        <v>7534.33</v>
      </c>
      <c r="H84">
        <v>3</v>
      </c>
    </row>
    <row r="85" spans="1:8" x14ac:dyDescent="0.25">
      <c r="A85" t="s">
        <v>185</v>
      </c>
      <c r="B85" t="s">
        <v>186</v>
      </c>
      <c r="C85" t="s">
        <v>24</v>
      </c>
      <c r="D85" t="s">
        <v>90</v>
      </c>
      <c r="E85" t="s">
        <v>17</v>
      </c>
      <c r="F85">
        <v>237639.12</v>
      </c>
      <c r="G85">
        <v>74105.94</v>
      </c>
      <c r="H85">
        <v>10</v>
      </c>
    </row>
    <row r="86" spans="1:8" x14ac:dyDescent="0.25">
      <c r="A86" t="s">
        <v>187</v>
      </c>
      <c r="B86" t="s">
        <v>188</v>
      </c>
      <c r="C86" t="s">
        <v>10</v>
      </c>
      <c r="D86" t="s">
        <v>20</v>
      </c>
      <c r="E86" t="s">
        <v>21</v>
      </c>
      <c r="F86">
        <v>50300.91</v>
      </c>
      <c r="G86">
        <v>10867.21</v>
      </c>
      <c r="H86">
        <v>1</v>
      </c>
    </row>
    <row r="87" spans="1:8" x14ac:dyDescent="0.25">
      <c r="A87" t="s">
        <v>189</v>
      </c>
      <c r="B87" t="s">
        <v>190</v>
      </c>
      <c r="C87" t="s">
        <v>33</v>
      </c>
      <c r="D87" t="s">
        <v>80</v>
      </c>
      <c r="E87" t="s">
        <v>21</v>
      </c>
      <c r="F87">
        <v>269071.08</v>
      </c>
      <c r="G87">
        <v>59339.23</v>
      </c>
      <c r="H87">
        <v>9</v>
      </c>
    </row>
    <row r="88" spans="1:8" x14ac:dyDescent="0.25">
      <c r="A88" t="s">
        <v>191</v>
      </c>
      <c r="B88" t="s">
        <v>192</v>
      </c>
      <c r="C88" t="s">
        <v>15</v>
      </c>
      <c r="D88" t="s">
        <v>11</v>
      </c>
      <c r="E88" t="s">
        <v>12</v>
      </c>
      <c r="F88">
        <v>7166.73</v>
      </c>
      <c r="G88">
        <v>2321.48</v>
      </c>
      <c r="H88">
        <v>9</v>
      </c>
    </row>
    <row r="89" spans="1:8" x14ac:dyDescent="0.25">
      <c r="A89" t="s">
        <v>193</v>
      </c>
      <c r="B89" t="s">
        <v>194</v>
      </c>
      <c r="C89" t="s">
        <v>33</v>
      </c>
      <c r="D89" t="s">
        <v>61</v>
      </c>
      <c r="E89" t="s">
        <v>17</v>
      </c>
      <c r="F89">
        <v>80670.22</v>
      </c>
      <c r="G89">
        <v>25265.3</v>
      </c>
      <c r="H89">
        <v>5</v>
      </c>
    </row>
    <row r="90" spans="1:8" x14ac:dyDescent="0.25">
      <c r="A90" t="s">
        <v>195</v>
      </c>
      <c r="B90" t="s">
        <v>196</v>
      </c>
      <c r="C90" t="s">
        <v>15</v>
      </c>
      <c r="D90" t="s">
        <v>50</v>
      </c>
      <c r="E90" t="s">
        <v>17</v>
      </c>
      <c r="F90">
        <v>110863.75</v>
      </c>
      <c r="G90">
        <v>32089.72</v>
      </c>
      <c r="H90">
        <v>10</v>
      </c>
    </row>
    <row r="91" spans="1:8" x14ac:dyDescent="0.25">
      <c r="A91" t="s">
        <v>197</v>
      </c>
      <c r="B91" t="s">
        <v>116</v>
      </c>
      <c r="C91" t="s">
        <v>15</v>
      </c>
      <c r="D91" t="s">
        <v>20</v>
      </c>
      <c r="E91" t="s">
        <v>21</v>
      </c>
      <c r="F91">
        <v>398756.55</v>
      </c>
      <c r="G91">
        <v>68661.16</v>
      </c>
      <c r="H91">
        <v>9</v>
      </c>
    </row>
    <row r="92" spans="1:8" x14ac:dyDescent="0.25">
      <c r="A92" t="s">
        <v>57</v>
      </c>
      <c r="B92" t="s">
        <v>58</v>
      </c>
      <c r="C92" t="s">
        <v>24</v>
      </c>
      <c r="D92" t="s">
        <v>28</v>
      </c>
      <c r="E92" t="s">
        <v>12</v>
      </c>
      <c r="H92">
        <v>9</v>
      </c>
    </row>
    <row r="93" spans="1:8" x14ac:dyDescent="0.25">
      <c r="A93" t="s">
        <v>103</v>
      </c>
      <c r="B93" t="s">
        <v>104</v>
      </c>
      <c r="C93" t="s">
        <v>15</v>
      </c>
      <c r="D93" t="s">
        <v>16</v>
      </c>
      <c r="E93" t="s">
        <v>17</v>
      </c>
      <c r="F93">
        <v>16964.599999999999</v>
      </c>
      <c r="G93">
        <v>5426.94</v>
      </c>
      <c r="H93">
        <v>1</v>
      </c>
    </row>
    <row r="94" spans="1:8" x14ac:dyDescent="0.25">
      <c r="A94" t="s">
        <v>198</v>
      </c>
      <c r="B94" t="s">
        <v>199</v>
      </c>
      <c r="C94" t="s">
        <v>15</v>
      </c>
      <c r="D94" t="s">
        <v>28</v>
      </c>
      <c r="E94" t="s">
        <v>12</v>
      </c>
      <c r="F94">
        <v>3068.59</v>
      </c>
      <c r="G94">
        <v>995.14</v>
      </c>
      <c r="H94">
        <v>10</v>
      </c>
    </row>
    <row r="95" spans="1:8" x14ac:dyDescent="0.25">
      <c r="A95" t="s">
        <v>200</v>
      </c>
      <c r="B95" t="s">
        <v>132</v>
      </c>
      <c r="C95" t="s">
        <v>24</v>
      </c>
      <c r="D95" t="s">
        <v>11</v>
      </c>
      <c r="E95" t="s">
        <v>12</v>
      </c>
      <c r="F95">
        <v>692.03</v>
      </c>
      <c r="G95">
        <v>240.6</v>
      </c>
      <c r="H95">
        <v>1</v>
      </c>
    </row>
    <row r="96" spans="1:8" x14ac:dyDescent="0.25">
      <c r="A96" t="s">
        <v>201</v>
      </c>
      <c r="B96" t="s">
        <v>202</v>
      </c>
      <c r="C96" t="s">
        <v>15</v>
      </c>
      <c r="D96" t="s">
        <v>80</v>
      </c>
      <c r="E96" t="s">
        <v>21</v>
      </c>
      <c r="F96">
        <v>195367.67999999999</v>
      </c>
      <c r="G96">
        <v>29519.72</v>
      </c>
      <c r="H96">
        <v>7</v>
      </c>
    </row>
    <row r="97" spans="1:8" x14ac:dyDescent="0.25">
      <c r="A97" t="s">
        <v>203</v>
      </c>
      <c r="B97" t="s">
        <v>204</v>
      </c>
      <c r="C97" t="s">
        <v>33</v>
      </c>
      <c r="D97" t="s">
        <v>90</v>
      </c>
      <c r="E97" t="s">
        <v>17</v>
      </c>
      <c r="F97">
        <v>184424.7</v>
      </c>
      <c r="G97">
        <v>57976.88</v>
      </c>
      <c r="H97">
        <v>7</v>
      </c>
    </row>
    <row r="98" spans="1:8" x14ac:dyDescent="0.25">
      <c r="A98" t="s">
        <v>205</v>
      </c>
      <c r="B98" t="s">
        <v>206</v>
      </c>
      <c r="C98" t="s">
        <v>33</v>
      </c>
      <c r="D98" t="s">
        <v>39</v>
      </c>
      <c r="E98" t="s">
        <v>12</v>
      </c>
      <c r="F98">
        <v>2505.34</v>
      </c>
      <c r="G98">
        <v>918.68</v>
      </c>
      <c r="H98">
        <v>5</v>
      </c>
    </row>
    <row r="99" spans="1:8" x14ac:dyDescent="0.25">
      <c r="A99" t="s">
        <v>207</v>
      </c>
      <c r="B99" t="s">
        <v>208</v>
      </c>
      <c r="C99" t="s">
        <v>24</v>
      </c>
      <c r="D99" t="s">
        <v>11</v>
      </c>
      <c r="E99" t="s">
        <v>12</v>
      </c>
      <c r="F99">
        <v>8733.27</v>
      </c>
      <c r="G99">
        <v>3315.35</v>
      </c>
      <c r="H99">
        <v>10</v>
      </c>
    </row>
    <row r="100" spans="1:8" x14ac:dyDescent="0.25">
      <c r="A100" t="s">
        <v>209</v>
      </c>
      <c r="B100" t="s">
        <v>56</v>
      </c>
      <c r="C100" t="s">
        <v>24</v>
      </c>
      <c r="D100" t="s">
        <v>90</v>
      </c>
      <c r="E100" t="s">
        <v>17</v>
      </c>
      <c r="F100">
        <v>262224.98</v>
      </c>
      <c r="G100">
        <v>62513.06</v>
      </c>
      <c r="H100">
        <v>10</v>
      </c>
    </row>
    <row r="101" spans="1:8" x14ac:dyDescent="0.25">
      <c r="A101" t="s">
        <v>210</v>
      </c>
      <c r="B101" t="s">
        <v>211</v>
      </c>
      <c r="C101" t="s">
        <v>24</v>
      </c>
      <c r="D101" t="s">
        <v>90</v>
      </c>
      <c r="E101" t="s">
        <v>17</v>
      </c>
      <c r="F101">
        <v>92641.68</v>
      </c>
      <c r="G101">
        <v>27873.89</v>
      </c>
      <c r="H101">
        <v>4</v>
      </c>
    </row>
    <row r="102" spans="1:8" x14ac:dyDescent="0.25">
      <c r="A102" t="s">
        <v>212</v>
      </c>
      <c r="B102" t="s">
        <v>92</v>
      </c>
      <c r="C102" t="s">
        <v>10</v>
      </c>
      <c r="D102" t="s">
        <v>11</v>
      </c>
      <c r="E102" t="s">
        <v>12</v>
      </c>
      <c r="F102">
        <v>4321.62</v>
      </c>
      <c r="G102">
        <v>1558.92</v>
      </c>
      <c r="H102">
        <v>6</v>
      </c>
    </row>
    <row r="103" spans="1:8" x14ac:dyDescent="0.25">
      <c r="A103" t="s">
        <v>213</v>
      </c>
      <c r="B103" t="s">
        <v>214</v>
      </c>
      <c r="C103" t="s">
        <v>10</v>
      </c>
      <c r="D103" t="s">
        <v>39</v>
      </c>
      <c r="E103" t="s">
        <v>12</v>
      </c>
      <c r="F103">
        <v>868.18</v>
      </c>
      <c r="G103">
        <v>323.68</v>
      </c>
      <c r="H103">
        <v>2</v>
      </c>
    </row>
    <row r="104" spans="1:8" x14ac:dyDescent="0.25">
      <c r="A104" t="s">
        <v>215</v>
      </c>
      <c r="B104" t="s">
        <v>216</v>
      </c>
      <c r="C104" t="s">
        <v>10</v>
      </c>
      <c r="D104" t="s">
        <v>50</v>
      </c>
      <c r="E104" t="s">
        <v>17</v>
      </c>
      <c r="F104">
        <v>106107.44</v>
      </c>
      <c r="G104">
        <v>26334.17</v>
      </c>
      <c r="H10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0" customWidth="1"/>
    <col min="4" max="5" width="18" customWidth="1"/>
    <col min="6" max="6" width="15" customWidth="1"/>
    <col min="7" max="7" width="12" customWidth="1"/>
    <col min="8" max="8" width="10" customWidth="1"/>
    <col min="9" max="9" width="14" customWidth="1"/>
    <col min="10" max="10" width="16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217</v>
      </c>
      <c r="J1" s="2" t="s">
        <v>218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6394.94</v>
      </c>
      <c r="G2">
        <v>2187.35</v>
      </c>
      <c r="H2">
        <v>9</v>
      </c>
      <c r="I2">
        <f t="shared" ref="I2:I33" si="0">F2*H2</f>
        <v>57554.46</v>
      </c>
      <c r="J2" s="3">
        <f t="shared" ref="J2:J33" si="1">IFERROR(G2/F2,0)</f>
        <v>0.3420438659315021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88267.57</v>
      </c>
      <c r="G3">
        <v>20557.740000000002</v>
      </c>
      <c r="H3">
        <v>5</v>
      </c>
      <c r="I3">
        <f t="shared" si="0"/>
        <v>441337.85000000003</v>
      </c>
      <c r="J3" s="3">
        <f t="shared" si="1"/>
        <v>0.23290252580874266</v>
      </c>
    </row>
    <row r="4" spans="1:10" x14ac:dyDescent="0.25">
      <c r="A4" t="s">
        <v>18</v>
      </c>
      <c r="B4" t="s">
        <v>19</v>
      </c>
      <c r="C4" t="s">
        <v>15</v>
      </c>
      <c r="D4" t="s">
        <v>20</v>
      </c>
      <c r="E4" t="s">
        <v>21</v>
      </c>
      <c r="F4">
        <v>150447.35999999999</v>
      </c>
      <c r="G4">
        <v>19931.060000000001</v>
      </c>
      <c r="H4">
        <v>3</v>
      </c>
      <c r="I4">
        <f t="shared" si="0"/>
        <v>451342.07999999996</v>
      </c>
      <c r="J4" s="3">
        <f t="shared" si="1"/>
        <v>0.132478629069995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12</v>
      </c>
      <c r="F5">
        <v>9584.44</v>
      </c>
      <c r="G5">
        <v>3759.3</v>
      </c>
      <c r="H5">
        <v>9</v>
      </c>
      <c r="I5">
        <f t="shared" si="0"/>
        <v>86259.96</v>
      </c>
      <c r="J5" s="3">
        <f t="shared" si="1"/>
        <v>0.39222948862948698</v>
      </c>
    </row>
    <row r="6" spans="1:10" x14ac:dyDescent="0.25">
      <c r="A6" t="s">
        <v>26</v>
      </c>
      <c r="B6" t="s">
        <v>27</v>
      </c>
      <c r="C6" t="s">
        <v>24</v>
      </c>
      <c r="D6" t="s">
        <v>28</v>
      </c>
      <c r="E6" t="s">
        <v>12</v>
      </c>
      <c r="F6">
        <v>2509.81</v>
      </c>
      <c r="G6">
        <v>987.17</v>
      </c>
      <c r="H6">
        <v>9</v>
      </c>
      <c r="I6">
        <f t="shared" si="0"/>
        <v>22588.29</v>
      </c>
      <c r="J6" s="3">
        <f t="shared" si="1"/>
        <v>0.39332459429199818</v>
      </c>
    </row>
    <row r="7" spans="1:10" x14ac:dyDescent="0.25">
      <c r="A7" t="s">
        <v>29</v>
      </c>
      <c r="B7" t="s">
        <v>30</v>
      </c>
      <c r="C7" t="s">
        <v>24</v>
      </c>
      <c r="D7" t="s">
        <v>16</v>
      </c>
      <c r="E7" t="s">
        <v>17</v>
      </c>
      <c r="F7">
        <v>78838.27</v>
      </c>
      <c r="G7">
        <v>21761.75</v>
      </c>
      <c r="H7">
        <v>4</v>
      </c>
      <c r="I7">
        <f t="shared" si="0"/>
        <v>315353.08</v>
      </c>
      <c r="J7" s="3">
        <f t="shared" si="1"/>
        <v>0.2760302832621771</v>
      </c>
    </row>
    <row r="8" spans="1:10" x14ac:dyDescent="0.25">
      <c r="A8" t="s">
        <v>31</v>
      </c>
      <c r="B8" t="s">
        <v>32</v>
      </c>
      <c r="C8" t="s">
        <v>33</v>
      </c>
      <c r="D8" t="s">
        <v>34</v>
      </c>
      <c r="E8" t="s">
        <v>12</v>
      </c>
      <c r="F8">
        <v>14775.38</v>
      </c>
      <c r="G8">
        <v>5677.96</v>
      </c>
      <c r="H8">
        <v>4</v>
      </c>
      <c r="I8">
        <f t="shared" si="0"/>
        <v>59101.52</v>
      </c>
      <c r="J8" s="3">
        <f t="shared" si="1"/>
        <v>0.38428520958513424</v>
      </c>
    </row>
    <row r="9" spans="1:10" x14ac:dyDescent="0.25">
      <c r="A9" t="s">
        <v>35</v>
      </c>
      <c r="B9" t="s">
        <v>36</v>
      </c>
      <c r="C9" t="s">
        <v>15</v>
      </c>
      <c r="D9" t="s">
        <v>28</v>
      </c>
      <c r="E9" t="s">
        <v>12</v>
      </c>
      <c r="F9">
        <v>261.39</v>
      </c>
      <c r="G9">
        <v>94.91</v>
      </c>
      <c r="H9">
        <v>1</v>
      </c>
      <c r="I9">
        <f t="shared" si="0"/>
        <v>261.39</v>
      </c>
      <c r="J9" s="3">
        <f t="shared" si="1"/>
        <v>0.36309728757794868</v>
      </c>
    </row>
    <row r="10" spans="1:10" x14ac:dyDescent="0.25">
      <c r="A10" t="s">
        <v>37</v>
      </c>
      <c r="B10" t="s">
        <v>38</v>
      </c>
      <c r="C10" t="s">
        <v>24</v>
      </c>
      <c r="D10" t="s">
        <v>39</v>
      </c>
      <c r="E10" t="s">
        <v>12</v>
      </c>
      <c r="F10">
        <v>567.44000000000005</v>
      </c>
      <c r="G10">
        <v>181.54</v>
      </c>
      <c r="H10">
        <v>1</v>
      </c>
      <c r="I10">
        <f t="shared" si="0"/>
        <v>567.44000000000005</v>
      </c>
      <c r="J10" s="3">
        <f t="shared" si="1"/>
        <v>0.31992809812491185</v>
      </c>
    </row>
    <row r="11" spans="1:10" x14ac:dyDescent="0.25">
      <c r="A11" t="s">
        <v>40</v>
      </c>
      <c r="B11" t="s">
        <v>41</v>
      </c>
      <c r="C11" t="s">
        <v>24</v>
      </c>
      <c r="D11" t="s">
        <v>28</v>
      </c>
      <c r="E11" t="s">
        <v>12</v>
      </c>
      <c r="F11">
        <v>943.13</v>
      </c>
      <c r="G11">
        <v>372.24</v>
      </c>
      <c r="H11">
        <v>3</v>
      </c>
      <c r="I11">
        <f t="shared" si="0"/>
        <v>2829.39</v>
      </c>
      <c r="J11" s="3">
        <f t="shared" si="1"/>
        <v>0.39468578032720836</v>
      </c>
    </row>
    <row r="12" spans="1:10" x14ac:dyDescent="0.25">
      <c r="A12" t="s">
        <v>42</v>
      </c>
      <c r="B12" t="s">
        <v>14</v>
      </c>
      <c r="C12" t="s">
        <v>24</v>
      </c>
      <c r="D12" t="s">
        <v>43</v>
      </c>
      <c r="E12" t="s">
        <v>21</v>
      </c>
      <c r="F12">
        <v>112003.37</v>
      </c>
      <c r="G12">
        <v>16972.02</v>
      </c>
      <c r="H12">
        <v>6</v>
      </c>
      <c r="I12">
        <f t="shared" si="0"/>
        <v>672020.22</v>
      </c>
      <c r="J12" s="3">
        <f t="shared" si="1"/>
        <v>0.15153133338755789</v>
      </c>
    </row>
    <row r="13" spans="1:10" x14ac:dyDescent="0.25">
      <c r="A13" t="s">
        <v>44</v>
      </c>
      <c r="B13" t="s">
        <v>45</v>
      </c>
      <c r="C13" t="s">
        <v>24</v>
      </c>
      <c r="D13" t="s">
        <v>20</v>
      </c>
      <c r="E13" t="s">
        <v>21</v>
      </c>
      <c r="F13">
        <v>173683.91</v>
      </c>
      <c r="G13">
        <v>25232.89</v>
      </c>
      <c r="H13">
        <v>4</v>
      </c>
      <c r="I13">
        <f t="shared" si="0"/>
        <v>694735.64</v>
      </c>
      <c r="J13" s="3">
        <f t="shared" si="1"/>
        <v>0.14528052713691211</v>
      </c>
    </row>
    <row r="14" spans="1:10" x14ac:dyDescent="0.25">
      <c r="A14" t="s">
        <v>46</v>
      </c>
      <c r="B14" t="s">
        <v>47</v>
      </c>
      <c r="C14" t="s">
        <v>24</v>
      </c>
      <c r="D14" t="s">
        <v>25</v>
      </c>
      <c r="E14" t="s">
        <v>12</v>
      </c>
      <c r="F14">
        <v>5179.3599999999997</v>
      </c>
      <c r="G14">
        <v>1726.57</v>
      </c>
      <c r="H14">
        <v>5</v>
      </c>
      <c r="I14">
        <f t="shared" si="0"/>
        <v>25896.799999999999</v>
      </c>
      <c r="J14" s="3">
        <f t="shared" si="1"/>
        <v>0.33335585863890521</v>
      </c>
    </row>
    <row r="15" spans="1:10" x14ac:dyDescent="0.2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>
        <v>102924.42</v>
      </c>
      <c r="G15">
        <v>26883.42</v>
      </c>
      <c r="H15">
        <v>10</v>
      </c>
      <c r="I15">
        <f t="shared" si="0"/>
        <v>1029244.2</v>
      </c>
      <c r="J15" s="3">
        <f t="shared" si="1"/>
        <v>0.26119573955335379</v>
      </c>
    </row>
    <row r="16" spans="1:10" x14ac:dyDescent="0.25">
      <c r="A16" t="s">
        <v>51</v>
      </c>
      <c r="B16" t="s">
        <v>52</v>
      </c>
      <c r="C16" t="s">
        <v>24</v>
      </c>
      <c r="D16" t="s">
        <v>34</v>
      </c>
      <c r="E16" t="s">
        <v>12</v>
      </c>
      <c r="F16">
        <v>3992.45</v>
      </c>
      <c r="G16">
        <v>1567.58</v>
      </c>
      <c r="H16">
        <v>1</v>
      </c>
      <c r="I16">
        <f t="shared" si="0"/>
        <v>3992.45</v>
      </c>
      <c r="J16" s="3">
        <f t="shared" si="1"/>
        <v>0.39263610063995791</v>
      </c>
    </row>
    <row r="17" spans="1:10" x14ac:dyDescent="0.25">
      <c r="A17" t="s">
        <v>53</v>
      </c>
      <c r="B17" t="s">
        <v>54</v>
      </c>
      <c r="C17" t="s">
        <v>10</v>
      </c>
      <c r="D17" t="s">
        <v>20</v>
      </c>
      <c r="E17" t="s">
        <v>21</v>
      </c>
      <c r="F17">
        <v>156457.4</v>
      </c>
      <c r="G17">
        <v>20668.560000000001</v>
      </c>
      <c r="H17">
        <v>4</v>
      </c>
      <c r="I17">
        <f t="shared" si="0"/>
        <v>625829.6</v>
      </c>
      <c r="J17" s="3">
        <f t="shared" si="1"/>
        <v>0.13210343518427381</v>
      </c>
    </row>
    <row r="18" spans="1:10" x14ac:dyDescent="0.25">
      <c r="A18" t="s">
        <v>55</v>
      </c>
      <c r="B18" t="s">
        <v>56</v>
      </c>
      <c r="C18" t="s">
        <v>33</v>
      </c>
      <c r="D18" t="s">
        <v>20</v>
      </c>
      <c r="E18" t="s">
        <v>21</v>
      </c>
      <c r="F18">
        <v>409735.74</v>
      </c>
      <c r="G18">
        <v>83873.47</v>
      </c>
      <c r="H18">
        <v>9</v>
      </c>
      <c r="I18">
        <f t="shared" si="0"/>
        <v>3687621.66</v>
      </c>
      <c r="J18" s="3">
        <f t="shared" si="1"/>
        <v>0.2047013765506519</v>
      </c>
    </row>
    <row r="19" spans="1:10" x14ac:dyDescent="0.25">
      <c r="A19" t="s">
        <v>57</v>
      </c>
      <c r="B19" t="s">
        <v>58</v>
      </c>
      <c r="C19" t="s">
        <v>24</v>
      </c>
      <c r="D19" t="s">
        <v>28</v>
      </c>
      <c r="E19" t="s">
        <v>12</v>
      </c>
      <c r="F19">
        <v>2324.1799999999998</v>
      </c>
      <c r="G19">
        <v>783.07</v>
      </c>
      <c r="H19">
        <v>9</v>
      </c>
      <c r="I19">
        <f t="shared" si="0"/>
        <v>20917.62</v>
      </c>
      <c r="J19" s="3">
        <f t="shared" si="1"/>
        <v>0.33692312987806455</v>
      </c>
    </row>
    <row r="20" spans="1:10" x14ac:dyDescent="0.25">
      <c r="A20" t="s">
        <v>59</v>
      </c>
      <c r="B20" t="s">
        <v>60</v>
      </c>
      <c r="C20" t="s">
        <v>24</v>
      </c>
      <c r="D20" t="s">
        <v>61</v>
      </c>
      <c r="E20" t="s">
        <v>17</v>
      </c>
      <c r="F20">
        <v>91150.5</v>
      </c>
      <c r="G20">
        <v>24754.42</v>
      </c>
      <c r="H20">
        <v>6</v>
      </c>
      <c r="I20">
        <f t="shared" si="0"/>
        <v>546903</v>
      </c>
      <c r="J20" s="3">
        <f t="shared" si="1"/>
        <v>0.27157744609190293</v>
      </c>
    </row>
    <row r="21" spans="1:10" x14ac:dyDescent="0.25">
      <c r="A21" t="s">
        <v>62</v>
      </c>
      <c r="B21" t="s">
        <v>63</v>
      </c>
      <c r="C21" t="s">
        <v>15</v>
      </c>
      <c r="D21" t="s">
        <v>64</v>
      </c>
      <c r="E21" t="s">
        <v>21</v>
      </c>
      <c r="F21">
        <v>17686.439999999999</v>
      </c>
      <c r="G21">
        <v>2420.4299999999998</v>
      </c>
      <c r="H21">
        <v>2</v>
      </c>
      <c r="I21">
        <f t="shared" si="0"/>
        <v>35372.879999999997</v>
      </c>
      <c r="J21" s="3">
        <f t="shared" si="1"/>
        <v>0.13685230040641305</v>
      </c>
    </row>
    <row r="22" spans="1:10" x14ac:dyDescent="0.25">
      <c r="A22" t="s">
        <v>65</v>
      </c>
      <c r="B22" t="s">
        <v>9</v>
      </c>
      <c r="C22" t="s">
        <v>24</v>
      </c>
      <c r="D22" t="s">
        <v>28</v>
      </c>
      <c r="E22" t="s">
        <v>12</v>
      </c>
      <c r="F22">
        <v>2885.59</v>
      </c>
      <c r="G22">
        <v>912.83</v>
      </c>
      <c r="H22">
        <v>9</v>
      </c>
      <c r="I22">
        <f t="shared" si="0"/>
        <v>25970.31</v>
      </c>
      <c r="J22" s="3">
        <f t="shared" si="1"/>
        <v>0.31634085230403486</v>
      </c>
    </row>
    <row r="23" spans="1:10" x14ac:dyDescent="0.25">
      <c r="A23" t="s">
        <v>66</v>
      </c>
      <c r="B23" t="s">
        <v>67</v>
      </c>
      <c r="C23" t="s">
        <v>10</v>
      </c>
      <c r="D23" t="s">
        <v>20</v>
      </c>
      <c r="E23" t="s">
        <v>21</v>
      </c>
      <c r="F23">
        <v>400692.81</v>
      </c>
      <c r="G23">
        <v>74424.91</v>
      </c>
      <c r="H23">
        <v>9</v>
      </c>
      <c r="I23">
        <f t="shared" si="0"/>
        <v>3606235.29</v>
      </c>
      <c r="J23" s="3">
        <f t="shared" si="1"/>
        <v>0.18574056769324113</v>
      </c>
    </row>
    <row r="24" spans="1:10" x14ac:dyDescent="0.25">
      <c r="A24" t="s">
        <v>68</v>
      </c>
      <c r="B24" t="s">
        <v>69</v>
      </c>
      <c r="C24" t="s">
        <v>10</v>
      </c>
      <c r="D24" t="s">
        <v>28</v>
      </c>
      <c r="E24" t="s">
        <v>12</v>
      </c>
      <c r="F24">
        <v>1895.97</v>
      </c>
      <c r="G24">
        <v>667.71</v>
      </c>
      <c r="H24">
        <v>7</v>
      </c>
      <c r="I24">
        <f t="shared" si="0"/>
        <v>13271.79</v>
      </c>
      <c r="J24" s="3">
        <f t="shared" si="1"/>
        <v>0.35217329388123231</v>
      </c>
    </row>
    <row r="25" spans="1:10" x14ac:dyDescent="0.25">
      <c r="A25" t="s">
        <v>70</v>
      </c>
      <c r="B25" t="s">
        <v>27</v>
      </c>
      <c r="C25" t="s">
        <v>15</v>
      </c>
      <c r="D25" t="s">
        <v>71</v>
      </c>
      <c r="E25" t="s">
        <v>21</v>
      </c>
      <c r="F25">
        <v>290861.94</v>
      </c>
      <c r="G25">
        <v>45915.55</v>
      </c>
      <c r="H25">
        <v>4</v>
      </c>
      <c r="I25">
        <f t="shared" si="0"/>
        <v>1163447.76</v>
      </c>
      <c r="J25" s="3">
        <f t="shared" si="1"/>
        <v>0.15786028931801804</v>
      </c>
    </row>
    <row r="26" spans="1:10" x14ac:dyDescent="0.25">
      <c r="A26" t="s">
        <v>72</v>
      </c>
      <c r="B26" t="s">
        <v>73</v>
      </c>
      <c r="C26" t="s">
        <v>24</v>
      </c>
      <c r="D26" t="s">
        <v>25</v>
      </c>
      <c r="E26" t="s">
        <v>12</v>
      </c>
      <c r="F26">
        <v>1030.73</v>
      </c>
      <c r="G26">
        <v>331.75</v>
      </c>
      <c r="H26">
        <v>1</v>
      </c>
      <c r="I26">
        <f t="shared" si="0"/>
        <v>1030.73</v>
      </c>
      <c r="J26" s="3">
        <f t="shared" si="1"/>
        <v>0.32185926479291377</v>
      </c>
    </row>
    <row r="27" spans="1:10" x14ac:dyDescent="0.25">
      <c r="A27" t="s">
        <v>76</v>
      </c>
      <c r="B27" t="s">
        <v>77</v>
      </c>
      <c r="C27" t="s">
        <v>24</v>
      </c>
      <c r="D27" t="s">
        <v>11</v>
      </c>
      <c r="E27" t="s">
        <v>12</v>
      </c>
      <c r="F27">
        <v>5477.4</v>
      </c>
      <c r="G27">
        <v>2152.12</v>
      </c>
      <c r="H27">
        <v>8</v>
      </c>
      <c r="I27">
        <f t="shared" si="0"/>
        <v>43819.199999999997</v>
      </c>
      <c r="J27" s="3">
        <f t="shared" si="1"/>
        <v>0.3929090444371417</v>
      </c>
    </row>
    <row r="28" spans="1:10" x14ac:dyDescent="0.25">
      <c r="A28" t="s">
        <v>78</v>
      </c>
      <c r="B28" t="s">
        <v>79</v>
      </c>
      <c r="C28" t="s">
        <v>33</v>
      </c>
      <c r="D28" t="s">
        <v>80</v>
      </c>
      <c r="E28" t="s">
        <v>21</v>
      </c>
      <c r="F28">
        <v>186745.33</v>
      </c>
      <c r="G28">
        <v>36331.32</v>
      </c>
      <c r="H28">
        <v>7</v>
      </c>
      <c r="I28">
        <f t="shared" si="0"/>
        <v>1307217.3099999998</v>
      </c>
      <c r="J28" s="3">
        <f t="shared" si="1"/>
        <v>0.194550085937892</v>
      </c>
    </row>
    <row r="29" spans="1:10" x14ac:dyDescent="0.25">
      <c r="A29" t="s">
        <v>74</v>
      </c>
      <c r="B29" t="s">
        <v>75</v>
      </c>
      <c r="C29" t="s">
        <v>33</v>
      </c>
      <c r="D29" t="s">
        <v>20</v>
      </c>
      <c r="E29" t="s">
        <v>21</v>
      </c>
      <c r="F29">
        <v>86049.32</v>
      </c>
      <c r="G29">
        <v>16004.17</v>
      </c>
      <c r="H29">
        <v>2</v>
      </c>
      <c r="I29">
        <f t="shared" si="0"/>
        <v>172098.64</v>
      </c>
      <c r="J29" s="3">
        <f t="shared" si="1"/>
        <v>0.18598833785089758</v>
      </c>
    </row>
    <row r="30" spans="1:10" x14ac:dyDescent="0.25">
      <c r="A30" t="s">
        <v>81</v>
      </c>
      <c r="B30" t="s">
        <v>82</v>
      </c>
      <c r="C30" t="s">
        <v>10</v>
      </c>
      <c r="D30" t="s">
        <v>43</v>
      </c>
      <c r="E30" t="s">
        <v>21</v>
      </c>
      <c r="F30">
        <v>206346.19</v>
      </c>
      <c r="G30">
        <v>39111.94</v>
      </c>
      <c r="H30">
        <v>9</v>
      </c>
      <c r="I30">
        <f t="shared" si="0"/>
        <v>1857115.71</v>
      </c>
      <c r="J30" s="3">
        <f t="shared" si="1"/>
        <v>0.18954524917566931</v>
      </c>
    </row>
    <row r="31" spans="1:10" x14ac:dyDescent="0.25">
      <c r="A31" t="s">
        <v>83</v>
      </c>
      <c r="B31" t="s">
        <v>84</v>
      </c>
      <c r="C31" t="s">
        <v>15</v>
      </c>
      <c r="D31" t="s">
        <v>34</v>
      </c>
      <c r="E31" t="s">
        <v>12</v>
      </c>
      <c r="F31">
        <v>17006.89</v>
      </c>
      <c r="G31">
        <v>6519.97</v>
      </c>
      <c r="H31">
        <v>5</v>
      </c>
      <c r="I31">
        <f t="shared" si="0"/>
        <v>85034.45</v>
      </c>
      <c r="J31" s="3">
        <f t="shared" si="1"/>
        <v>0.38337226853351791</v>
      </c>
    </row>
    <row r="32" spans="1:10" x14ac:dyDescent="0.25">
      <c r="A32" t="s">
        <v>85</v>
      </c>
      <c r="B32" t="s">
        <v>86</v>
      </c>
      <c r="C32" t="s">
        <v>24</v>
      </c>
      <c r="D32" t="s">
        <v>43</v>
      </c>
      <c r="E32" t="s">
        <v>21</v>
      </c>
      <c r="F32">
        <v>38307.75</v>
      </c>
      <c r="G32">
        <v>6297.62</v>
      </c>
      <c r="H32">
        <v>2</v>
      </c>
      <c r="I32">
        <f t="shared" si="0"/>
        <v>76615.5</v>
      </c>
      <c r="J32" s="3">
        <f t="shared" si="1"/>
        <v>0.16439545522772805</v>
      </c>
    </row>
    <row r="33" spans="1:10" x14ac:dyDescent="0.25">
      <c r="A33" t="s">
        <v>87</v>
      </c>
      <c r="B33" t="s">
        <v>88</v>
      </c>
      <c r="C33" t="s">
        <v>15</v>
      </c>
      <c r="D33" t="s">
        <v>50</v>
      </c>
      <c r="E33" t="s">
        <v>17</v>
      </c>
      <c r="F33">
        <v>53277.36</v>
      </c>
      <c r="G33">
        <v>14279</v>
      </c>
      <c r="H33">
        <v>4</v>
      </c>
      <c r="I33">
        <f t="shared" si="0"/>
        <v>213109.44</v>
      </c>
      <c r="J33" s="3">
        <f t="shared" si="1"/>
        <v>0.2680125291493422</v>
      </c>
    </row>
    <row r="34" spans="1:10" x14ac:dyDescent="0.25">
      <c r="A34" t="s">
        <v>89</v>
      </c>
      <c r="B34" t="s">
        <v>9</v>
      </c>
      <c r="C34" t="s">
        <v>10</v>
      </c>
      <c r="D34" t="s">
        <v>90</v>
      </c>
      <c r="E34" t="s">
        <v>17</v>
      </c>
      <c r="F34">
        <v>27675.49</v>
      </c>
      <c r="G34">
        <v>8484.18</v>
      </c>
      <c r="H34">
        <v>1</v>
      </c>
      <c r="I34">
        <f t="shared" ref="I34:I65" si="2">F34*H34</f>
        <v>27675.49</v>
      </c>
      <c r="J34" s="3">
        <f t="shared" ref="J34:J65" si="3">IFERROR(G34/F34,0)</f>
        <v>0.30655934185808453</v>
      </c>
    </row>
    <row r="35" spans="1:10" x14ac:dyDescent="0.25">
      <c r="A35" t="s">
        <v>91</v>
      </c>
      <c r="B35" t="s">
        <v>92</v>
      </c>
      <c r="C35" t="s">
        <v>10</v>
      </c>
      <c r="D35" t="s">
        <v>11</v>
      </c>
      <c r="E35" t="s">
        <v>12</v>
      </c>
      <c r="F35">
        <v>7979.28</v>
      </c>
      <c r="G35">
        <v>2402.9499999999998</v>
      </c>
      <c r="H35">
        <v>9</v>
      </c>
      <c r="I35">
        <f t="shared" si="2"/>
        <v>71813.52</v>
      </c>
      <c r="J35" s="3">
        <f t="shared" si="3"/>
        <v>0.30114872519826347</v>
      </c>
    </row>
    <row r="36" spans="1:10" x14ac:dyDescent="0.25">
      <c r="A36" t="s">
        <v>93</v>
      </c>
      <c r="B36" t="s">
        <v>94</v>
      </c>
      <c r="C36" t="s">
        <v>33</v>
      </c>
      <c r="D36" t="s">
        <v>34</v>
      </c>
      <c r="E36" t="s">
        <v>12</v>
      </c>
      <c r="F36">
        <v>27704.94</v>
      </c>
      <c r="G36">
        <v>10599.17</v>
      </c>
      <c r="H36">
        <v>8</v>
      </c>
      <c r="I36">
        <f t="shared" si="2"/>
        <v>221639.52</v>
      </c>
      <c r="J36" s="3">
        <f t="shared" si="3"/>
        <v>0.38257328837384236</v>
      </c>
    </row>
    <row r="37" spans="1:10" x14ac:dyDescent="0.25">
      <c r="A37" t="s">
        <v>95</v>
      </c>
      <c r="B37" t="s">
        <v>96</v>
      </c>
      <c r="C37" t="s">
        <v>24</v>
      </c>
      <c r="D37" t="s">
        <v>25</v>
      </c>
      <c r="E37" t="s">
        <v>12</v>
      </c>
      <c r="F37">
        <v>7693.66</v>
      </c>
      <c r="G37">
        <v>2549.4299999999998</v>
      </c>
      <c r="H37">
        <v>6</v>
      </c>
      <c r="I37">
        <f t="shared" si="2"/>
        <v>46161.96</v>
      </c>
      <c r="J37" s="3">
        <f t="shared" si="3"/>
        <v>0.33136764556790915</v>
      </c>
    </row>
    <row r="38" spans="1:10" x14ac:dyDescent="0.25">
      <c r="A38" t="s">
        <v>97</v>
      </c>
      <c r="B38" t="s">
        <v>98</v>
      </c>
      <c r="C38" t="s">
        <v>15</v>
      </c>
      <c r="D38" t="s">
        <v>20</v>
      </c>
      <c r="E38" t="s">
        <v>21</v>
      </c>
      <c r="F38">
        <v>510338.18</v>
      </c>
      <c r="G38">
        <v>70715.19</v>
      </c>
      <c r="H38">
        <v>10</v>
      </c>
      <c r="I38">
        <f t="shared" si="2"/>
        <v>5103381.8</v>
      </c>
      <c r="J38" s="3">
        <f t="shared" si="3"/>
        <v>0.13856535288031949</v>
      </c>
    </row>
    <row r="39" spans="1:10" x14ac:dyDescent="0.25">
      <c r="A39" t="s">
        <v>99</v>
      </c>
      <c r="B39" t="s">
        <v>100</v>
      </c>
      <c r="C39" t="s">
        <v>33</v>
      </c>
      <c r="D39" t="s">
        <v>16</v>
      </c>
      <c r="E39" t="s">
        <v>17</v>
      </c>
      <c r="F39">
        <v>33612.43</v>
      </c>
      <c r="G39">
        <v>9246.11</v>
      </c>
      <c r="H39">
        <v>2</v>
      </c>
      <c r="I39">
        <f t="shared" si="2"/>
        <v>67224.86</v>
      </c>
      <c r="J39" s="3">
        <f t="shared" si="3"/>
        <v>0.27508008198157646</v>
      </c>
    </row>
    <row r="40" spans="1:10" x14ac:dyDescent="0.25">
      <c r="A40" t="s">
        <v>101</v>
      </c>
      <c r="B40" t="s">
        <v>102</v>
      </c>
      <c r="C40" t="s">
        <v>33</v>
      </c>
      <c r="D40" t="s">
        <v>71</v>
      </c>
      <c r="E40" t="s">
        <v>21</v>
      </c>
      <c r="F40">
        <v>605228.19999999995</v>
      </c>
      <c r="G40">
        <v>95732.35</v>
      </c>
      <c r="H40">
        <v>9</v>
      </c>
      <c r="I40">
        <f t="shared" si="2"/>
        <v>5447053.7999999998</v>
      </c>
      <c r="J40" s="3">
        <f t="shared" si="3"/>
        <v>0.15817562697838602</v>
      </c>
    </row>
    <row r="41" spans="1:10" x14ac:dyDescent="0.25">
      <c r="A41" t="s">
        <v>105</v>
      </c>
      <c r="B41" t="s">
        <v>106</v>
      </c>
      <c r="C41" t="s">
        <v>33</v>
      </c>
      <c r="D41" t="s">
        <v>43</v>
      </c>
      <c r="E41" t="s">
        <v>21</v>
      </c>
      <c r="F41">
        <v>191106.04</v>
      </c>
      <c r="G41">
        <v>35563.050000000003</v>
      </c>
      <c r="H41">
        <v>9</v>
      </c>
      <c r="I41">
        <f t="shared" si="2"/>
        <v>1719954.36</v>
      </c>
      <c r="J41" s="3">
        <f t="shared" si="3"/>
        <v>0.18609066463833379</v>
      </c>
    </row>
    <row r="42" spans="1:10" x14ac:dyDescent="0.25">
      <c r="A42" t="s">
        <v>107</v>
      </c>
      <c r="B42" t="s">
        <v>82</v>
      </c>
      <c r="C42" t="s">
        <v>33</v>
      </c>
      <c r="D42" t="s">
        <v>43</v>
      </c>
      <c r="E42" t="s">
        <v>21</v>
      </c>
      <c r="F42">
        <v>206399.69</v>
      </c>
      <c r="G42">
        <v>33483.17</v>
      </c>
      <c r="H42">
        <v>10</v>
      </c>
      <c r="I42">
        <f t="shared" si="2"/>
        <v>2063996.9</v>
      </c>
      <c r="J42" s="3">
        <f t="shared" si="3"/>
        <v>0.16222490450445928</v>
      </c>
    </row>
    <row r="43" spans="1:10" x14ac:dyDescent="0.25">
      <c r="A43" t="s">
        <v>108</v>
      </c>
      <c r="B43" t="s">
        <v>49</v>
      </c>
      <c r="C43" t="s">
        <v>24</v>
      </c>
      <c r="D43" t="s">
        <v>80</v>
      </c>
      <c r="E43" t="s">
        <v>21</v>
      </c>
      <c r="F43">
        <v>110035.59</v>
      </c>
      <c r="G43">
        <v>22408.43</v>
      </c>
      <c r="H43">
        <v>4</v>
      </c>
      <c r="I43">
        <f t="shared" si="2"/>
        <v>440142.36</v>
      </c>
      <c r="J43" s="3">
        <f t="shared" si="3"/>
        <v>0.20364711090293605</v>
      </c>
    </row>
    <row r="44" spans="1:10" x14ac:dyDescent="0.25">
      <c r="A44" t="s">
        <v>109</v>
      </c>
      <c r="B44" t="s">
        <v>110</v>
      </c>
      <c r="C44" t="s">
        <v>33</v>
      </c>
      <c r="D44" t="s">
        <v>34</v>
      </c>
      <c r="E44" t="s">
        <v>12</v>
      </c>
      <c r="F44">
        <v>21487.32</v>
      </c>
      <c r="G44">
        <v>7960.13</v>
      </c>
      <c r="H44">
        <v>6</v>
      </c>
      <c r="I44">
        <f t="shared" si="2"/>
        <v>128923.92</v>
      </c>
      <c r="J44" s="3">
        <f t="shared" si="3"/>
        <v>0.37045708818037804</v>
      </c>
    </row>
    <row r="45" spans="1:10" x14ac:dyDescent="0.25">
      <c r="A45" t="s">
        <v>111</v>
      </c>
      <c r="B45" t="s">
        <v>112</v>
      </c>
      <c r="C45" t="s">
        <v>33</v>
      </c>
      <c r="D45" t="s">
        <v>43</v>
      </c>
      <c r="E45" t="s">
        <v>21</v>
      </c>
      <c r="F45">
        <v>141065.87</v>
      </c>
      <c r="G45">
        <v>31892</v>
      </c>
      <c r="H45">
        <v>8</v>
      </c>
      <c r="I45">
        <f t="shared" si="2"/>
        <v>1128526.96</v>
      </c>
      <c r="J45" s="3">
        <f t="shared" si="3"/>
        <v>0.22607878149406374</v>
      </c>
    </row>
    <row r="46" spans="1:10" x14ac:dyDescent="0.25">
      <c r="A46" t="s">
        <v>113</v>
      </c>
      <c r="B46" t="s">
        <v>114</v>
      </c>
      <c r="C46" t="s">
        <v>10</v>
      </c>
      <c r="D46" t="s">
        <v>25</v>
      </c>
      <c r="E46" t="s">
        <v>12</v>
      </c>
      <c r="F46">
        <v>3863.15</v>
      </c>
      <c r="G46">
        <v>1342.32</v>
      </c>
      <c r="H46">
        <v>3</v>
      </c>
      <c r="I46">
        <f t="shared" si="2"/>
        <v>11589.45</v>
      </c>
      <c r="J46" s="3">
        <f t="shared" si="3"/>
        <v>0.34746774005668946</v>
      </c>
    </row>
    <row r="47" spans="1:10" x14ac:dyDescent="0.25">
      <c r="A47" t="s">
        <v>115</v>
      </c>
      <c r="B47" t="s">
        <v>116</v>
      </c>
      <c r="C47" t="s">
        <v>24</v>
      </c>
      <c r="D47" t="s">
        <v>28</v>
      </c>
      <c r="E47" t="s">
        <v>12</v>
      </c>
      <c r="F47">
        <v>2634.81</v>
      </c>
      <c r="G47">
        <v>908.8</v>
      </c>
      <c r="H47">
        <v>9</v>
      </c>
      <c r="I47">
        <f t="shared" si="2"/>
        <v>23713.29</v>
      </c>
      <c r="J47" s="3">
        <f t="shared" si="3"/>
        <v>0.34492050660199408</v>
      </c>
    </row>
    <row r="48" spans="1:10" x14ac:dyDescent="0.25">
      <c r="A48" t="s">
        <v>117</v>
      </c>
      <c r="B48" t="s">
        <v>118</v>
      </c>
      <c r="C48" t="s">
        <v>24</v>
      </c>
      <c r="D48" t="s">
        <v>50</v>
      </c>
      <c r="E48" t="s">
        <v>17</v>
      </c>
      <c r="F48">
        <v>93487.57</v>
      </c>
      <c r="G48">
        <v>30401.41</v>
      </c>
      <c r="H48">
        <v>9</v>
      </c>
      <c r="I48">
        <f t="shared" si="2"/>
        <v>841388.13000000012</v>
      </c>
      <c r="J48" s="3">
        <f t="shared" si="3"/>
        <v>0.32519200146072891</v>
      </c>
    </row>
    <row r="49" spans="1:10" x14ac:dyDescent="0.25">
      <c r="A49" t="s">
        <v>119</v>
      </c>
      <c r="B49" t="s">
        <v>120</v>
      </c>
      <c r="C49" t="s">
        <v>10</v>
      </c>
      <c r="D49" t="s">
        <v>28</v>
      </c>
      <c r="E49" t="s">
        <v>12</v>
      </c>
      <c r="F49">
        <v>2678.28</v>
      </c>
      <c r="G49">
        <v>1044.8499999999999</v>
      </c>
      <c r="H49">
        <v>9</v>
      </c>
      <c r="I49">
        <f t="shared" si="2"/>
        <v>24104.52</v>
      </c>
      <c r="J49" s="3">
        <f t="shared" si="3"/>
        <v>0.39011977836521938</v>
      </c>
    </row>
    <row r="50" spans="1:10" x14ac:dyDescent="0.25">
      <c r="A50" t="s">
        <v>121</v>
      </c>
      <c r="B50" t="s">
        <v>122</v>
      </c>
      <c r="C50" t="s">
        <v>24</v>
      </c>
      <c r="D50" t="s">
        <v>28</v>
      </c>
      <c r="E50" t="s">
        <v>12</v>
      </c>
      <c r="F50">
        <v>553.44000000000005</v>
      </c>
      <c r="G50">
        <v>188.53</v>
      </c>
      <c r="H50">
        <v>2</v>
      </c>
      <c r="I50">
        <f t="shared" si="2"/>
        <v>1106.8800000000001</v>
      </c>
      <c r="J50" s="3">
        <f t="shared" si="3"/>
        <v>0.34065119976871927</v>
      </c>
    </row>
    <row r="51" spans="1:10" x14ac:dyDescent="0.25">
      <c r="A51" t="s">
        <v>123</v>
      </c>
      <c r="B51" t="s">
        <v>124</v>
      </c>
      <c r="C51" t="s">
        <v>33</v>
      </c>
      <c r="D51" t="s">
        <v>11</v>
      </c>
      <c r="E51" t="s">
        <v>12</v>
      </c>
      <c r="F51">
        <v>1500.88</v>
      </c>
      <c r="G51">
        <v>474</v>
      </c>
      <c r="H51">
        <v>2</v>
      </c>
      <c r="I51">
        <f t="shared" si="2"/>
        <v>3001.76</v>
      </c>
      <c r="J51" s="3">
        <f t="shared" si="3"/>
        <v>0.31581472202974253</v>
      </c>
    </row>
    <row r="52" spans="1:10" x14ac:dyDescent="0.25">
      <c r="A52" t="s">
        <v>125</v>
      </c>
      <c r="B52" t="s">
        <v>126</v>
      </c>
      <c r="C52" t="s">
        <v>33</v>
      </c>
      <c r="D52" t="s">
        <v>80</v>
      </c>
      <c r="E52" t="s">
        <v>21</v>
      </c>
      <c r="F52">
        <v>164313.38</v>
      </c>
      <c r="G52">
        <v>25747.54</v>
      </c>
      <c r="H52">
        <v>6</v>
      </c>
      <c r="I52">
        <f t="shared" si="2"/>
        <v>985880.28</v>
      </c>
      <c r="J52" s="3">
        <f t="shared" si="3"/>
        <v>0.15669776861750395</v>
      </c>
    </row>
    <row r="53" spans="1:10" x14ac:dyDescent="0.25">
      <c r="A53" t="s">
        <v>127</v>
      </c>
      <c r="B53" t="s">
        <v>128</v>
      </c>
      <c r="C53" t="s">
        <v>10</v>
      </c>
      <c r="D53" t="s">
        <v>80</v>
      </c>
      <c r="E53" t="s">
        <v>21</v>
      </c>
      <c r="F53">
        <v>161406.38</v>
      </c>
      <c r="G53">
        <v>34758.019999999997</v>
      </c>
      <c r="H53">
        <v>5</v>
      </c>
      <c r="I53">
        <f t="shared" si="2"/>
        <v>807031.9</v>
      </c>
      <c r="J53" s="3">
        <f t="shared" si="3"/>
        <v>0.21534477137768654</v>
      </c>
    </row>
    <row r="54" spans="1:10" x14ac:dyDescent="0.25">
      <c r="A54" t="s">
        <v>129</v>
      </c>
      <c r="B54" t="s">
        <v>130</v>
      </c>
      <c r="C54" t="s">
        <v>10</v>
      </c>
      <c r="D54" t="s">
        <v>28</v>
      </c>
      <c r="E54" t="s">
        <v>12</v>
      </c>
      <c r="F54">
        <v>2702.07</v>
      </c>
      <c r="G54">
        <v>1075.6199999999999</v>
      </c>
      <c r="H54">
        <v>8</v>
      </c>
      <c r="I54">
        <f t="shared" si="2"/>
        <v>21616.560000000001</v>
      </c>
      <c r="J54" s="3">
        <f t="shared" si="3"/>
        <v>0.39807258879303636</v>
      </c>
    </row>
    <row r="55" spans="1:10" x14ac:dyDescent="0.25">
      <c r="A55" t="s">
        <v>131</v>
      </c>
      <c r="B55" t="s">
        <v>132</v>
      </c>
      <c r="C55" t="s">
        <v>15</v>
      </c>
      <c r="D55" t="s">
        <v>80</v>
      </c>
      <c r="E55" t="s">
        <v>21</v>
      </c>
      <c r="F55">
        <v>91063.23</v>
      </c>
      <c r="G55">
        <v>18928.64</v>
      </c>
      <c r="H55">
        <v>3</v>
      </c>
      <c r="I55">
        <f t="shared" si="2"/>
        <v>273189.69</v>
      </c>
      <c r="J55" s="3">
        <f t="shared" si="3"/>
        <v>0.2078626027212081</v>
      </c>
    </row>
    <row r="56" spans="1:10" x14ac:dyDescent="0.25">
      <c r="A56" t="s">
        <v>133</v>
      </c>
      <c r="B56" t="s">
        <v>134</v>
      </c>
      <c r="C56" t="s">
        <v>33</v>
      </c>
      <c r="D56" t="s">
        <v>135</v>
      </c>
      <c r="E56" t="s">
        <v>17</v>
      </c>
      <c r="F56">
        <v>50134.32</v>
      </c>
      <c r="G56">
        <v>15046.23</v>
      </c>
      <c r="H56">
        <v>5</v>
      </c>
      <c r="I56">
        <f t="shared" si="2"/>
        <v>250671.6</v>
      </c>
      <c r="J56" s="3">
        <f t="shared" si="3"/>
        <v>0.30011836203223657</v>
      </c>
    </row>
    <row r="57" spans="1:10" x14ac:dyDescent="0.25">
      <c r="A57" t="s">
        <v>136</v>
      </c>
      <c r="B57" t="s">
        <v>88</v>
      </c>
      <c r="C57" t="s">
        <v>15</v>
      </c>
      <c r="D57" t="s">
        <v>16</v>
      </c>
      <c r="E57" t="s">
        <v>17</v>
      </c>
      <c r="F57">
        <v>16704.84</v>
      </c>
      <c r="G57">
        <v>4388.95</v>
      </c>
      <c r="H57">
        <v>1</v>
      </c>
      <c r="I57">
        <f t="shared" si="2"/>
        <v>16704.84</v>
      </c>
      <c r="J57" s="3">
        <f t="shared" si="3"/>
        <v>0.26273523122639902</v>
      </c>
    </row>
    <row r="58" spans="1:10" x14ac:dyDescent="0.25">
      <c r="A58" t="s">
        <v>137</v>
      </c>
      <c r="B58" t="s">
        <v>138</v>
      </c>
      <c r="C58" t="s">
        <v>10</v>
      </c>
      <c r="D58" t="s">
        <v>16</v>
      </c>
      <c r="E58" t="s">
        <v>17</v>
      </c>
      <c r="F58">
        <v>54154.33</v>
      </c>
      <c r="G58">
        <v>12947.81</v>
      </c>
      <c r="H58">
        <v>3</v>
      </c>
      <c r="I58">
        <f t="shared" si="2"/>
        <v>162462.99</v>
      </c>
      <c r="J58" s="3">
        <f t="shared" si="3"/>
        <v>0.23909094619026769</v>
      </c>
    </row>
    <row r="59" spans="1:10" x14ac:dyDescent="0.25">
      <c r="A59" t="s">
        <v>139</v>
      </c>
      <c r="B59" t="s">
        <v>140</v>
      </c>
      <c r="C59" t="s">
        <v>33</v>
      </c>
      <c r="D59" t="s">
        <v>28</v>
      </c>
      <c r="E59" t="s">
        <v>12</v>
      </c>
      <c r="F59">
        <v>3034.23</v>
      </c>
      <c r="G59">
        <v>1174.4000000000001</v>
      </c>
      <c r="H59">
        <v>9</v>
      </c>
      <c r="I59">
        <f t="shared" si="2"/>
        <v>27308.07</v>
      </c>
      <c r="J59" s="3">
        <f t="shared" si="3"/>
        <v>0.38705042135896095</v>
      </c>
    </row>
    <row r="60" spans="1:10" x14ac:dyDescent="0.25">
      <c r="A60" t="s">
        <v>141</v>
      </c>
      <c r="B60" t="s">
        <v>142</v>
      </c>
      <c r="C60" t="s">
        <v>24</v>
      </c>
      <c r="D60" t="s">
        <v>61</v>
      </c>
      <c r="E60" t="s">
        <v>17</v>
      </c>
      <c r="F60">
        <v>136249.59</v>
      </c>
      <c r="G60">
        <v>40825.199999999997</v>
      </c>
      <c r="H60">
        <v>10</v>
      </c>
      <c r="I60">
        <f t="shared" si="2"/>
        <v>1362495.9</v>
      </c>
      <c r="J60" s="3">
        <f t="shared" si="3"/>
        <v>0.29963539706798381</v>
      </c>
    </row>
    <row r="61" spans="1:10" x14ac:dyDescent="0.25">
      <c r="A61" t="s">
        <v>143</v>
      </c>
      <c r="B61" t="s">
        <v>144</v>
      </c>
      <c r="C61" t="s">
        <v>33</v>
      </c>
      <c r="D61" t="s">
        <v>43</v>
      </c>
      <c r="E61" t="s">
        <v>21</v>
      </c>
      <c r="F61">
        <v>156156.69</v>
      </c>
      <c r="G61">
        <v>30338.93</v>
      </c>
      <c r="H61">
        <v>7</v>
      </c>
      <c r="I61">
        <f t="shared" si="2"/>
        <v>1093096.83</v>
      </c>
      <c r="J61" s="3">
        <f t="shared" si="3"/>
        <v>0.1942851759985435</v>
      </c>
    </row>
    <row r="62" spans="1:10" x14ac:dyDescent="0.25">
      <c r="A62" t="s">
        <v>145</v>
      </c>
      <c r="B62" t="s">
        <v>146</v>
      </c>
      <c r="C62" t="s">
        <v>33</v>
      </c>
      <c r="D62" t="s">
        <v>90</v>
      </c>
      <c r="E62" t="s">
        <v>17</v>
      </c>
      <c r="F62">
        <v>179287.81</v>
      </c>
      <c r="G62">
        <v>46555.81</v>
      </c>
      <c r="H62">
        <v>8</v>
      </c>
      <c r="I62">
        <f t="shared" si="2"/>
        <v>1434302.48</v>
      </c>
      <c r="J62" s="3">
        <f t="shared" si="3"/>
        <v>0.25967080528230002</v>
      </c>
    </row>
    <row r="63" spans="1:10" x14ac:dyDescent="0.25">
      <c r="A63" t="s">
        <v>147</v>
      </c>
      <c r="B63" t="s">
        <v>88</v>
      </c>
      <c r="C63" t="s">
        <v>15</v>
      </c>
      <c r="D63" t="s">
        <v>50</v>
      </c>
      <c r="E63" t="s">
        <v>17</v>
      </c>
      <c r="F63">
        <v>78083.12</v>
      </c>
      <c r="G63">
        <v>24081.39</v>
      </c>
      <c r="H63">
        <v>7</v>
      </c>
      <c r="I63">
        <f t="shared" si="2"/>
        <v>546581.84</v>
      </c>
      <c r="J63" s="3">
        <f t="shared" si="3"/>
        <v>0.30840711795327852</v>
      </c>
    </row>
    <row r="64" spans="1:10" x14ac:dyDescent="0.25">
      <c r="A64" t="s">
        <v>148</v>
      </c>
      <c r="B64" t="s">
        <v>149</v>
      </c>
      <c r="C64" t="s">
        <v>15</v>
      </c>
      <c r="D64" t="s">
        <v>61</v>
      </c>
      <c r="E64" t="s">
        <v>17</v>
      </c>
      <c r="F64">
        <v>34039.870000000003</v>
      </c>
      <c r="G64">
        <v>10963.46</v>
      </c>
      <c r="H64">
        <v>2</v>
      </c>
      <c r="I64">
        <f t="shared" si="2"/>
        <v>68079.740000000005</v>
      </c>
      <c r="J64" s="3">
        <f t="shared" si="3"/>
        <v>0.32207702320837295</v>
      </c>
    </row>
    <row r="65" spans="1:10" x14ac:dyDescent="0.25">
      <c r="A65" t="s">
        <v>150</v>
      </c>
      <c r="B65" t="s">
        <v>98</v>
      </c>
      <c r="C65" t="s">
        <v>24</v>
      </c>
      <c r="D65" t="s">
        <v>80</v>
      </c>
      <c r="E65" t="s">
        <v>21</v>
      </c>
      <c r="F65">
        <v>60254.81</v>
      </c>
      <c r="G65">
        <v>9511.08</v>
      </c>
      <c r="H65">
        <v>2</v>
      </c>
      <c r="I65">
        <f t="shared" si="2"/>
        <v>120509.62</v>
      </c>
      <c r="J65" s="3">
        <f t="shared" si="3"/>
        <v>0.15784764734964729</v>
      </c>
    </row>
    <row r="66" spans="1:10" x14ac:dyDescent="0.25">
      <c r="A66" t="s">
        <v>151</v>
      </c>
      <c r="B66" t="s">
        <v>152</v>
      </c>
      <c r="C66" t="s">
        <v>10</v>
      </c>
      <c r="D66" t="s">
        <v>16</v>
      </c>
      <c r="E66" t="s">
        <v>17</v>
      </c>
      <c r="F66">
        <v>36994.660000000003</v>
      </c>
      <c r="G66">
        <v>11581.44</v>
      </c>
      <c r="H66">
        <v>2</v>
      </c>
      <c r="I66">
        <f t="shared" ref="I66:I97" si="4">F66*H66</f>
        <v>73989.320000000007</v>
      </c>
      <c r="J66" s="3">
        <f t="shared" ref="J66:J101" si="5">IFERROR(G66/F66,0)</f>
        <v>0.31305707364252028</v>
      </c>
    </row>
    <row r="67" spans="1:10" x14ac:dyDescent="0.25">
      <c r="A67" t="s">
        <v>153</v>
      </c>
      <c r="B67" t="s">
        <v>154</v>
      </c>
      <c r="C67" t="s">
        <v>33</v>
      </c>
      <c r="D67" t="s">
        <v>34</v>
      </c>
      <c r="E67" t="s">
        <v>12</v>
      </c>
      <c r="F67">
        <v>27913.07</v>
      </c>
      <c r="G67">
        <v>10966.8</v>
      </c>
      <c r="H67">
        <v>7</v>
      </c>
      <c r="I67">
        <f t="shared" si="4"/>
        <v>195391.49</v>
      </c>
      <c r="J67" s="3">
        <f t="shared" si="5"/>
        <v>0.39289121547719402</v>
      </c>
    </row>
    <row r="68" spans="1:10" x14ac:dyDescent="0.25">
      <c r="A68" t="s">
        <v>155</v>
      </c>
      <c r="B68" t="s">
        <v>156</v>
      </c>
      <c r="C68" t="s">
        <v>33</v>
      </c>
      <c r="D68" t="s">
        <v>20</v>
      </c>
      <c r="E68" t="s">
        <v>21</v>
      </c>
      <c r="F68">
        <v>115739.23</v>
      </c>
      <c r="G68">
        <v>17879.89</v>
      </c>
      <c r="H68">
        <v>3</v>
      </c>
      <c r="I68">
        <f t="shared" si="4"/>
        <v>347217.69</v>
      </c>
      <c r="J68" s="3">
        <f t="shared" si="5"/>
        <v>0.15448426605222793</v>
      </c>
    </row>
    <row r="69" spans="1:10" x14ac:dyDescent="0.25">
      <c r="A69" t="s">
        <v>157</v>
      </c>
      <c r="B69" t="s">
        <v>158</v>
      </c>
      <c r="C69" t="s">
        <v>24</v>
      </c>
      <c r="D69" t="s">
        <v>11</v>
      </c>
      <c r="E69" t="s">
        <v>12</v>
      </c>
      <c r="F69">
        <v>2980.85</v>
      </c>
      <c r="G69">
        <v>989.56</v>
      </c>
      <c r="H69">
        <v>4</v>
      </c>
      <c r="I69">
        <f t="shared" si="4"/>
        <v>11923.4</v>
      </c>
      <c r="J69" s="3">
        <f t="shared" si="5"/>
        <v>0.33197242397302784</v>
      </c>
    </row>
    <row r="70" spans="1:10" x14ac:dyDescent="0.25">
      <c r="A70" t="s">
        <v>159</v>
      </c>
      <c r="B70" t="s">
        <v>160</v>
      </c>
      <c r="C70" t="s">
        <v>24</v>
      </c>
      <c r="D70" t="s">
        <v>90</v>
      </c>
      <c r="E70" t="s">
        <v>17</v>
      </c>
      <c r="F70">
        <v>251708.7</v>
      </c>
      <c r="G70">
        <v>81420.37</v>
      </c>
      <c r="H70">
        <v>10</v>
      </c>
      <c r="I70">
        <f t="shared" si="4"/>
        <v>2517087</v>
      </c>
      <c r="J70" s="3">
        <f t="shared" si="5"/>
        <v>0.32347062298601514</v>
      </c>
    </row>
    <row r="71" spans="1:10" x14ac:dyDescent="0.25">
      <c r="A71" t="s">
        <v>161</v>
      </c>
      <c r="B71" t="s">
        <v>162</v>
      </c>
      <c r="C71" t="s">
        <v>15</v>
      </c>
      <c r="D71" t="s">
        <v>11</v>
      </c>
      <c r="E71" t="s">
        <v>12</v>
      </c>
      <c r="F71">
        <v>6431.85</v>
      </c>
      <c r="G71">
        <v>2347.5500000000002</v>
      </c>
      <c r="H71">
        <v>7</v>
      </c>
      <c r="I71">
        <f t="shared" si="4"/>
        <v>45022.950000000004</v>
      </c>
      <c r="J71" s="3">
        <f t="shared" si="5"/>
        <v>0.3649883004112347</v>
      </c>
    </row>
    <row r="72" spans="1:10" x14ac:dyDescent="0.25">
      <c r="A72" t="s">
        <v>163</v>
      </c>
      <c r="B72" t="s">
        <v>164</v>
      </c>
      <c r="C72" t="s">
        <v>24</v>
      </c>
      <c r="D72" t="s">
        <v>20</v>
      </c>
      <c r="E72" t="s">
        <v>21</v>
      </c>
      <c r="F72">
        <v>324110.65000000002</v>
      </c>
      <c r="G72">
        <v>54605.1</v>
      </c>
      <c r="H72">
        <v>7</v>
      </c>
      <c r="I72">
        <f t="shared" si="4"/>
        <v>2268774.5500000003</v>
      </c>
      <c r="J72" s="3">
        <f t="shared" si="5"/>
        <v>0.16847672237860742</v>
      </c>
    </row>
    <row r="73" spans="1:10" x14ac:dyDescent="0.25">
      <c r="A73" t="s">
        <v>165</v>
      </c>
      <c r="B73" t="s">
        <v>166</v>
      </c>
      <c r="C73" t="s">
        <v>10</v>
      </c>
      <c r="D73" t="s">
        <v>71</v>
      </c>
      <c r="E73" t="s">
        <v>21</v>
      </c>
      <c r="F73">
        <v>157154.22</v>
      </c>
      <c r="G73">
        <v>25997.98</v>
      </c>
      <c r="H73">
        <v>2</v>
      </c>
      <c r="I73">
        <f t="shared" si="4"/>
        <v>314308.44</v>
      </c>
      <c r="J73" s="3">
        <f t="shared" si="5"/>
        <v>0.16542972883578946</v>
      </c>
    </row>
    <row r="74" spans="1:10" x14ac:dyDescent="0.25">
      <c r="A74" t="s">
        <v>167</v>
      </c>
      <c r="B74" t="s">
        <v>168</v>
      </c>
      <c r="C74" t="s">
        <v>10</v>
      </c>
      <c r="D74" t="s">
        <v>71</v>
      </c>
      <c r="E74" t="s">
        <v>21</v>
      </c>
      <c r="F74">
        <v>655444</v>
      </c>
      <c r="G74">
        <v>141311.56</v>
      </c>
      <c r="H74">
        <v>8</v>
      </c>
      <c r="I74">
        <f t="shared" si="4"/>
        <v>5243552</v>
      </c>
      <c r="J74" s="3">
        <f t="shared" si="5"/>
        <v>0.21559669475958282</v>
      </c>
    </row>
    <row r="75" spans="1:10" x14ac:dyDescent="0.25">
      <c r="A75" t="s">
        <v>169</v>
      </c>
      <c r="B75" t="s">
        <v>170</v>
      </c>
      <c r="C75" t="s">
        <v>24</v>
      </c>
      <c r="D75" t="s">
        <v>90</v>
      </c>
      <c r="E75" t="s">
        <v>17</v>
      </c>
      <c r="F75">
        <v>183479.87</v>
      </c>
      <c r="G75">
        <v>43465.59</v>
      </c>
      <c r="H75">
        <v>7</v>
      </c>
      <c r="I75">
        <f t="shared" si="4"/>
        <v>1284359.0899999999</v>
      </c>
      <c r="J75" s="3">
        <f t="shared" si="5"/>
        <v>0.23689568779397979</v>
      </c>
    </row>
    <row r="76" spans="1:10" x14ac:dyDescent="0.25">
      <c r="A76" t="s">
        <v>171</v>
      </c>
      <c r="B76" t="s">
        <v>172</v>
      </c>
      <c r="C76" t="s">
        <v>15</v>
      </c>
      <c r="D76" t="s">
        <v>61</v>
      </c>
      <c r="E76" t="s">
        <v>17</v>
      </c>
      <c r="F76">
        <v>109694.9</v>
      </c>
      <c r="G76">
        <v>29629.03</v>
      </c>
      <c r="H76">
        <v>8</v>
      </c>
      <c r="I76">
        <f t="shared" si="4"/>
        <v>877559.2</v>
      </c>
      <c r="J76" s="3">
        <f t="shared" si="5"/>
        <v>0.27010398842607997</v>
      </c>
    </row>
    <row r="77" spans="1:10" x14ac:dyDescent="0.25">
      <c r="A77" t="s">
        <v>173</v>
      </c>
      <c r="B77" t="s">
        <v>174</v>
      </c>
      <c r="C77" t="s">
        <v>24</v>
      </c>
      <c r="D77" t="s">
        <v>80</v>
      </c>
      <c r="E77" t="s">
        <v>21</v>
      </c>
      <c r="F77">
        <v>92175.92</v>
      </c>
      <c r="G77">
        <v>21048.84</v>
      </c>
      <c r="H77">
        <v>3</v>
      </c>
      <c r="I77">
        <f t="shared" si="4"/>
        <v>276527.76</v>
      </c>
      <c r="J77" s="3">
        <f t="shared" si="5"/>
        <v>0.2283550844949527</v>
      </c>
    </row>
    <row r="78" spans="1:10" x14ac:dyDescent="0.25">
      <c r="A78" t="s">
        <v>175</v>
      </c>
      <c r="B78" t="s">
        <v>176</v>
      </c>
      <c r="C78" t="s">
        <v>24</v>
      </c>
      <c r="D78" t="s">
        <v>34</v>
      </c>
      <c r="E78" t="s">
        <v>12</v>
      </c>
      <c r="F78">
        <v>19766.72</v>
      </c>
      <c r="G78">
        <v>6134.77</v>
      </c>
      <c r="H78">
        <v>5</v>
      </c>
      <c r="I78">
        <f t="shared" si="4"/>
        <v>98833.600000000006</v>
      </c>
      <c r="J78" s="3">
        <f t="shared" si="5"/>
        <v>0.31035852179825485</v>
      </c>
    </row>
    <row r="79" spans="1:10" x14ac:dyDescent="0.25">
      <c r="A79" t="s">
        <v>177</v>
      </c>
      <c r="B79" t="s">
        <v>178</v>
      </c>
      <c r="C79" t="s">
        <v>33</v>
      </c>
      <c r="D79" t="s">
        <v>71</v>
      </c>
      <c r="E79" t="s">
        <v>21</v>
      </c>
      <c r="F79">
        <v>621808.67000000004</v>
      </c>
      <c r="G79">
        <v>115842.56</v>
      </c>
      <c r="H79">
        <v>8</v>
      </c>
      <c r="I79">
        <f t="shared" si="4"/>
        <v>4974469.3600000003</v>
      </c>
      <c r="J79" s="3">
        <f t="shared" si="5"/>
        <v>0.18629936440094988</v>
      </c>
    </row>
    <row r="80" spans="1:10" x14ac:dyDescent="0.25">
      <c r="A80" t="s">
        <v>179</v>
      </c>
      <c r="B80" t="s">
        <v>180</v>
      </c>
      <c r="C80" t="s">
        <v>15</v>
      </c>
      <c r="D80" t="s">
        <v>20</v>
      </c>
      <c r="E80" t="s">
        <v>21</v>
      </c>
      <c r="F80">
        <v>378301.56</v>
      </c>
      <c r="G80">
        <v>70514.259999999995</v>
      </c>
      <c r="H80">
        <v>8</v>
      </c>
      <c r="I80">
        <f t="shared" si="4"/>
        <v>3026412.48</v>
      </c>
      <c r="J80" s="3">
        <f t="shared" si="5"/>
        <v>0.18639695802470388</v>
      </c>
    </row>
    <row r="81" spans="1:10" x14ac:dyDescent="0.25">
      <c r="A81" t="s">
        <v>181</v>
      </c>
      <c r="B81" t="s">
        <v>182</v>
      </c>
      <c r="C81" t="s">
        <v>10</v>
      </c>
      <c r="D81" t="s">
        <v>28</v>
      </c>
      <c r="E81" t="s">
        <v>12</v>
      </c>
      <c r="F81">
        <v>1346.64</v>
      </c>
      <c r="G81">
        <v>498.43</v>
      </c>
      <c r="H81">
        <v>5</v>
      </c>
      <c r="I81">
        <f t="shared" si="4"/>
        <v>6733.2000000000007</v>
      </c>
      <c r="J81" s="3">
        <f t="shared" si="5"/>
        <v>0.37012861640824568</v>
      </c>
    </row>
    <row r="82" spans="1:10" x14ac:dyDescent="0.25">
      <c r="A82" t="s">
        <v>183</v>
      </c>
      <c r="B82" t="s">
        <v>184</v>
      </c>
      <c r="C82" t="s">
        <v>15</v>
      </c>
      <c r="D82" t="s">
        <v>135</v>
      </c>
      <c r="E82" t="s">
        <v>17</v>
      </c>
      <c r="F82">
        <v>26499.3</v>
      </c>
      <c r="G82">
        <v>7534.33</v>
      </c>
      <c r="H82">
        <v>3</v>
      </c>
      <c r="I82">
        <f t="shared" si="4"/>
        <v>79497.899999999994</v>
      </c>
      <c r="J82" s="3">
        <f t="shared" si="5"/>
        <v>0.28432185001113236</v>
      </c>
    </row>
    <row r="83" spans="1:10" x14ac:dyDescent="0.25">
      <c r="A83" t="s">
        <v>185</v>
      </c>
      <c r="B83" t="s">
        <v>186</v>
      </c>
      <c r="C83" t="s">
        <v>24</v>
      </c>
      <c r="D83" t="s">
        <v>90</v>
      </c>
      <c r="E83" t="s">
        <v>17</v>
      </c>
      <c r="F83">
        <v>237639.12</v>
      </c>
      <c r="G83">
        <v>74105.94</v>
      </c>
      <c r="H83">
        <v>10</v>
      </c>
      <c r="I83">
        <f t="shared" si="4"/>
        <v>2376391.2000000002</v>
      </c>
      <c r="J83" s="3">
        <f t="shared" si="5"/>
        <v>0.31184234312936354</v>
      </c>
    </row>
    <row r="84" spans="1:10" x14ac:dyDescent="0.25">
      <c r="A84" t="s">
        <v>187</v>
      </c>
      <c r="B84" t="s">
        <v>188</v>
      </c>
      <c r="C84" t="s">
        <v>10</v>
      </c>
      <c r="D84" t="s">
        <v>20</v>
      </c>
      <c r="E84" t="s">
        <v>21</v>
      </c>
      <c r="F84">
        <v>50300.91</v>
      </c>
      <c r="G84">
        <v>10867.21</v>
      </c>
      <c r="H84">
        <v>1</v>
      </c>
      <c r="I84">
        <f t="shared" si="4"/>
        <v>50300.91</v>
      </c>
      <c r="J84" s="3">
        <f t="shared" si="5"/>
        <v>0.21604400397527596</v>
      </c>
    </row>
    <row r="85" spans="1:10" x14ac:dyDescent="0.25">
      <c r="A85" t="s">
        <v>189</v>
      </c>
      <c r="B85" t="s">
        <v>190</v>
      </c>
      <c r="C85" t="s">
        <v>33</v>
      </c>
      <c r="D85" t="s">
        <v>80</v>
      </c>
      <c r="E85" t="s">
        <v>21</v>
      </c>
      <c r="F85">
        <v>269071.08</v>
      </c>
      <c r="G85">
        <v>59339.23</v>
      </c>
      <c r="H85">
        <v>9</v>
      </c>
      <c r="I85">
        <f t="shared" si="4"/>
        <v>2421639.7200000002</v>
      </c>
      <c r="J85" s="3">
        <f t="shared" si="5"/>
        <v>0.22053365973035824</v>
      </c>
    </row>
    <row r="86" spans="1:10" x14ac:dyDescent="0.25">
      <c r="A86" t="s">
        <v>191</v>
      </c>
      <c r="B86" t="s">
        <v>192</v>
      </c>
      <c r="C86" t="s">
        <v>15</v>
      </c>
      <c r="D86" t="s">
        <v>11</v>
      </c>
      <c r="E86" t="s">
        <v>12</v>
      </c>
      <c r="F86">
        <v>7166.73</v>
      </c>
      <c r="G86">
        <v>2321.48</v>
      </c>
      <c r="H86">
        <v>9</v>
      </c>
      <c r="I86">
        <f t="shared" si="4"/>
        <v>64500.569999999992</v>
      </c>
      <c r="J86" s="3">
        <f t="shared" si="5"/>
        <v>0.32392457927115997</v>
      </c>
    </row>
    <row r="87" spans="1:10" x14ac:dyDescent="0.25">
      <c r="A87" t="s">
        <v>193</v>
      </c>
      <c r="B87" t="s">
        <v>194</v>
      </c>
      <c r="C87" t="s">
        <v>33</v>
      </c>
      <c r="D87" t="s">
        <v>61</v>
      </c>
      <c r="E87" t="s">
        <v>17</v>
      </c>
      <c r="F87">
        <v>80670.22</v>
      </c>
      <c r="G87">
        <v>25265.3</v>
      </c>
      <c r="H87">
        <v>5</v>
      </c>
      <c r="I87">
        <f t="shared" si="4"/>
        <v>403351.1</v>
      </c>
      <c r="J87" s="3">
        <f t="shared" si="5"/>
        <v>0.31319240235120221</v>
      </c>
    </row>
    <row r="88" spans="1:10" x14ac:dyDescent="0.25">
      <c r="A88" t="s">
        <v>195</v>
      </c>
      <c r="B88" t="s">
        <v>196</v>
      </c>
      <c r="C88" t="s">
        <v>15</v>
      </c>
      <c r="D88" t="s">
        <v>50</v>
      </c>
      <c r="E88" t="s">
        <v>17</v>
      </c>
      <c r="F88">
        <v>110863.75</v>
      </c>
      <c r="G88">
        <v>32089.72</v>
      </c>
      <c r="H88">
        <v>10</v>
      </c>
      <c r="I88">
        <f t="shared" si="4"/>
        <v>1108637.5</v>
      </c>
      <c r="J88" s="3">
        <f t="shared" si="5"/>
        <v>0.2894518722305533</v>
      </c>
    </row>
    <row r="89" spans="1:10" x14ac:dyDescent="0.25">
      <c r="A89" t="s">
        <v>197</v>
      </c>
      <c r="B89" t="s">
        <v>116</v>
      </c>
      <c r="C89" t="s">
        <v>15</v>
      </c>
      <c r="D89" t="s">
        <v>20</v>
      </c>
      <c r="E89" t="s">
        <v>21</v>
      </c>
      <c r="F89">
        <v>398756.55</v>
      </c>
      <c r="G89">
        <v>68661.16</v>
      </c>
      <c r="H89">
        <v>9</v>
      </c>
      <c r="I89">
        <f t="shared" si="4"/>
        <v>3588808.9499999997</v>
      </c>
      <c r="J89" s="3">
        <f t="shared" si="5"/>
        <v>0.17218816844513277</v>
      </c>
    </row>
    <row r="90" spans="1:10" x14ac:dyDescent="0.25">
      <c r="A90" t="s">
        <v>103</v>
      </c>
      <c r="B90" t="s">
        <v>104</v>
      </c>
      <c r="C90" t="s">
        <v>15</v>
      </c>
      <c r="D90" t="s">
        <v>16</v>
      </c>
      <c r="E90" t="s">
        <v>17</v>
      </c>
      <c r="F90">
        <v>16964.599999999999</v>
      </c>
      <c r="G90">
        <v>5426.94</v>
      </c>
      <c r="H90">
        <v>1</v>
      </c>
      <c r="I90">
        <f t="shared" si="4"/>
        <v>16964.599999999999</v>
      </c>
      <c r="J90" s="3">
        <f t="shared" si="5"/>
        <v>0.31989790504933802</v>
      </c>
    </row>
    <row r="91" spans="1:10" x14ac:dyDescent="0.25">
      <c r="A91" t="s">
        <v>198</v>
      </c>
      <c r="B91" t="s">
        <v>199</v>
      </c>
      <c r="C91" t="s">
        <v>15</v>
      </c>
      <c r="D91" t="s">
        <v>28</v>
      </c>
      <c r="E91" t="s">
        <v>12</v>
      </c>
      <c r="F91">
        <v>3068.59</v>
      </c>
      <c r="G91">
        <v>995.14</v>
      </c>
      <c r="H91">
        <v>10</v>
      </c>
      <c r="I91">
        <f t="shared" si="4"/>
        <v>30685.9</v>
      </c>
      <c r="J91" s="3">
        <f t="shared" si="5"/>
        <v>0.32429878217683039</v>
      </c>
    </row>
    <row r="92" spans="1:10" x14ac:dyDescent="0.25">
      <c r="A92" t="s">
        <v>200</v>
      </c>
      <c r="B92" t="s">
        <v>132</v>
      </c>
      <c r="C92" t="s">
        <v>24</v>
      </c>
      <c r="D92" t="s">
        <v>11</v>
      </c>
      <c r="E92" t="s">
        <v>12</v>
      </c>
      <c r="F92">
        <v>692.03</v>
      </c>
      <c r="G92">
        <v>240.6</v>
      </c>
      <c r="H92">
        <v>1</v>
      </c>
      <c r="I92">
        <f t="shared" si="4"/>
        <v>692.03</v>
      </c>
      <c r="J92" s="3">
        <f t="shared" si="5"/>
        <v>0.34767278875193275</v>
      </c>
    </row>
    <row r="93" spans="1:10" x14ac:dyDescent="0.25">
      <c r="A93" t="s">
        <v>201</v>
      </c>
      <c r="B93" t="s">
        <v>202</v>
      </c>
      <c r="C93" t="s">
        <v>15</v>
      </c>
      <c r="D93" t="s">
        <v>80</v>
      </c>
      <c r="E93" t="s">
        <v>21</v>
      </c>
      <c r="F93">
        <v>195367.67999999999</v>
      </c>
      <c r="G93">
        <v>29519.72</v>
      </c>
      <c r="H93">
        <v>7</v>
      </c>
      <c r="I93">
        <f t="shared" si="4"/>
        <v>1367573.76</v>
      </c>
      <c r="J93" s="3">
        <f t="shared" si="5"/>
        <v>0.15109827787277816</v>
      </c>
    </row>
    <row r="94" spans="1:10" x14ac:dyDescent="0.25">
      <c r="A94" t="s">
        <v>203</v>
      </c>
      <c r="B94" t="s">
        <v>204</v>
      </c>
      <c r="C94" t="s">
        <v>33</v>
      </c>
      <c r="D94" t="s">
        <v>90</v>
      </c>
      <c r="E94" t="s">
        <v>17</v>
      </c>
      <c r="F94">
        <v>184424.7</v>
      </c>
      <c r="G94">
        <v>57976.88</v>
      </c>
      <c r="H94">
        <v>7</v>
      </c>
      <c r="I94">
        <f t="shared" si="4"/>
        <v>1290972.9000000001</v>
      </c>
      <c r="J94" s="3">
        <f t="shared" si="5"/>
        <v>0.31436613425425114</v>
      </c>
    </row>
    <row r="95" spans="1:10" x14ac:dyDescent="0.25">
      <c r="A95" t="s">
        <v>205</v>
      </c>
      <c r="B95" t="s">
        <v>206</v>
      </c>
      <c r="C95" t="s">
        <v>33</v>
      </c>
      <c r="D95" t="s">
        <v>39</v>
      </c>
      <c r="E95" t="s">
        <v>12</v>
      </c>
      <c r="F95">
        <v>2505.34</v>
      </c>
      <c r="G95">
        <v>918.68</v>
      </c>
      <c r="H95">
        <v>5</v>
      </c>
      <c r="I95">
        <f t="shared" si="4"/>
        <v>12526.7</v>
      </c>
      <c r="J95" s="3">
        <f t="shared" si="5"/>
        <v>0.36668875282396796</v>
      </c>
    </row>
    <row r="96" spans="1:10" x14ac:dyDescent="0.25">
      <c r="A96" t="s">
        <v>207</v>
      </c>
      <c r="B96" t="s">
        <v>208</v>
      </c>
      <c r="C96" t="s">
        <v>24</v>
      </c>
      <c r="D96" t="s">
        <v>11</v>
      </c>
      <c r="E96" t="s">
        <v>12</v>
      </c>
      <c r="F96">
        <v>8733.27</v>
      </c>
      <c r="G96">
        <v>3315.35</v>
      </c>
      <c r="H96">
        <v>10</v>
      </c>
      <c r="I96">
        <f t="shared" si="4"/>
        <v>87332.700000000012</v>
      </c>
      <c r="J96" s="3">
        <f t="shared" si="5"/>
        <v>0.37962298199872441</v>
      </c>
    </row>
    <row r="97" spans="1:10" x14ac:dyDescent="0.25">
      <c r="A97" t="s">
        <v>209</v>
      </c>
      <c r="B97" t="s">
        <v>56</v>
      </c>
      <c r="C97" t="s">
        <v>24</v>
      </c>
      <c r="D97" t="s">
        <v>90</v>
      </c>
      <c r="E97" t="s">
        <v>17</v>
      </c>
      <c r="F97">
        <v>262224.98</v>
      </c>
      <c r="G97">
        <v>62513.06</v>
      </c>
      <c r="H97">
        <v>10</v>
      </c>
      <c r="I97">
        <f t="shared" si="4"/>
        <v>2622249.7999999998</v>
      </c>
      <c r="J97" s="3">
        <f t="shared" si="5"/>
        <v>0.23839475552634232</v>
      </c>
    </row>
    <row r="98" spans="1:10" x14ac:dyDescent="0.25">
      <c r="A98" t="s">
        <v>210</v>
      </c>
      <c r="B98" t="s">
        <v>211</v>
      </c>
      <c r="C98" t="s">
        <v>24</v>
      </c>
      <c r="D98" t="s">
        <v>90</v>
      </c>
      <c r="E98" t="s">
        <v>17</v>
      </c>
      <c r="F98">
        <v>92641.68</v>
      </c>
      <c r="G98">
        <v>27873.89</v>
      </c>
      <c r="H98">
        <v>4</v>
      </c>
      <c r="I98">
        <f t="shared" ref="I98:I129" si="6">F98*H98</f>
        <v>370566.72</v>
      </c>
      <c r="J98" s="3">
        <f t="shared" si="5"/>
        <v>0.30087850306687014</v>
      </c>
    </row>
    <row r="99" spans="1:10" x14ac:dyDescent="0.25">
      <c r="A99" t="s">
        <v>212</v>
      </c>
      <c r="B99" t="s">
        <v>92</v>
      </c>
      <c r="C99" t="s">
        <v>10</v>
      </c>
      <c r="D99" t="s">
        <v>11</v>
      </c>
      <c r="E99" t="s">
        <v>12</v>
      </c>
      <c r="F99">
        <v>4321.62</v>
      </c>
      <c r="G99">
        <v>1558.92</v>
      </c>
      <c r="H99">
        <v>6</v>
      </c>
      <c r="I99">
        <f t="shared" si="6"/>
        <v>25929.72</v>
      </c>
      <c r="J99" s="3">
        <f t="shared" si="5"/>
        <v>0.36072583892151555</v>
      </c>
    </row>
    <row r="100" spans="1:10" x14ac:dyDescent="0.25">
      <c r="A100" t="s">
        <v>213</v>
      </c>
      <c r="B100" t="s">
        <v>214</v>
      </c>
      <c r="C100" t="s">
        <v>10</v>
      </c>
      <c r="D100" t="s">
        <v>39</v>
      </c>
      <c r="E100" t="s">
        <v>12</v>
      </c>
      <c r="F100">
        <v>868.18</v>
      </c>
      <c r="G100">
        <v>323.68</v>
      </c>
      <c r="H100">
        <v>2</v>
      </c>
      <c r="I100">
        <f t="shared" si="6"/>
        <v>1736.36</v>
      </c>
      <c r="J100" s="3">
        <f t="shared" si="5"/>
        <v>0.37282591167730195</v>
      </c>
    </row>
    <row r="101" spans="1:10" x14ac:dyDescent="0.25">
      <c r="A101" t="s">
        <v>215</v>
      </c>
      <c r="B101" t="s">
        <v>216</v>
      </c>
      <c r="C101" t="s">
        <v>10</v>
      </c>
      <c r="D101" t="s">
        <v>50</v>
      </c>
      <c r="E101" t="s">
        <v>17</v>
      </c>
      <c r="F101">
        <v>106107.44</v>
      </c>
      <c r="G101">
        <v>26334.17</v>
      </c>
      <c r="H101">
        <v>8</v>
      </c>
      <c r="I101">
        <f t="shared" si="6"/>
        <v>848859.52</v>
      </c>
      <c r="J101" s="3">
        <f t="shared" si="5"/>
        <v>0.24818401047089628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20" customWidth="1"/>
  </cols>
  <sheetData>
    <row r="1" spans="1:4" ht="16.5" x14ac:dyDescent="0.25">
      <c r="A1" s="4" t="s">
        <v>219</v>
      </c>
    </row>
    <row r="3" spans="1:4" x14ac:dyDescent="0.25">
      <c r="A3" s="5" t="s">
        <v>2</v>
      </c>
      <c r="B3" s="5" t="s">
        <v>220</v>
      </c>
      <c r="C3" s="5" t="s">
        <v>221</v>
      </c>
      <c r="D3" s="5" t="s">
        <v>222</v>
      </c>
    </row>
    <row r="4" spans="1:4" x14ac:dyDescent="0.25">
      <c r="A4" t="s">
        <v>24</v>
      </c>
      <c r="B4">
        <f>SUMIF(Cleaned_Data!C$2:C$101,A4,Cleaned_Data!I$2:I$101)</f>
        <v>17289755.619999997</v>
      </c>
      <c r="C4">
        <f>SUMIF(Cleaned_Data!C$2:C$101,A4,Cleaned_Data!G$2:G$101)</f>
        <v>590298.81999999995</v>
      </c>
      <c r="D4" s="3">
        <f>IFERROR(C4/B4,0)</f>
        <v>3.4141536350992104E-2</v>
      </c>
    </row>
    <row r="5" spans="1:4" x14ac:dyDescent="0.25">
      <c r="A5" t="s">
        <v>15</v>
      </c>
      <c r="B5">
        <f>SUMIF(Cleaned_Data!C$2:C$101,A5,Cleaned_Data!I$2:I$101)</f>
        <v>19632751.77</v>
      </c>
      <c r="C5">
        <f>SUMIF(Cleaned_Data!C$2:C$101,A5,Cleaned_Data!G$2:G$101)</f>
        <v>514719.04000000015</v>
      </c>
      <c r="D5" s="3">
        <f>IFERROR(C5/B5,0)</f>
        <v>2.6217366064115431E-2</v>
      </c>
    </row>
    <row r="6" spans="1:4" x14ac:dyDescent="0.25">
      <c r="A6" t="s">
        <v>33</v>
      </c>
      <c r="B6">
        <f>SUMIF(Cleaned_Data!C$2:C$101,A6,Cleaned_Data!I$2:I$101)</f>
        <v>29443189.43</v>
      </c>
      <c r="C6">
        <f>SUMIF(Cleaned_Data!C$2:C$101,A6,Cleaned_Data!G$2:G$101)</f>
        <v>773889.15000000014</v>
      </c>
      <c r="D6" s="3">
        <f>IFERROR(C6/B6,0)</f>
        <v>2.6284148048562828E-2</v>
      </c>
    </row>
    <row r="7" spans="1:4" x14ac:dyDescent="0.25">
      <c r="A7" t="s">
        <v>10</v>
      </c>
      <c r="B7">
        <f>SUMIF(Cleaned_Data!C$2:C$101,A7,Cleaned_Data!I$2:I$101)</f>
        <v>13851710.749999998</v>
      </c>
      <c r="C7">
        <f>SUMIF(Cleaned_Data!C$2:C$101,A7,Cleaned_Data!G$2:G$101)</f>
        <v>417589.61000000004</v>
      </c>
      <c r="D7" s="3">
        <f>IFERROR(C7/B7,0)</f>
        <v>3.0147150596542747E-2</v>
      </c>
    </row>
    <row r="8" spans="1:4" x14ac:dyDescent="0.25">
      <c r="A8" s="6" t="s">
        <v>223</v>
      </c>
      <c r="B8" s="6">
        <f>SUM(B4:B7)</f>
        <v>80217407.569999993</v>
      </c>
      <c r="C8" s="6">
        <f>SUM(C4:C7)</f>
        <v>2296496.62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x14ac:dyDescent="0.25"/>
  <cols>
    <col min="1" max="2" width="18" customWidth="1"/>
    <col min="3" max="3" width="16" customWidth="1"/>
    <col min="4" max="4" width="14" customWidth="1"/>
  </cols>
  <sheetData>
    <row r="1" spans="1:4" ht="16.5" x14ac:dyDescent="0.25">
      <c r="A1" s="4" t="s">
        <v>224</v>
      </c>
    </row>
    <row r="3" spans="1:4" x14ac:dyDescent="0.25">
      <c r="A3" s="5" t="s">
        <v>3</v>
      </c>
      <c r="B3" s="5" t="s">
        <v>4</v>
      </c>
      <c r="C3" s="5" t="s">
        <v>220</v>
      </c>
      <c r="D3" s="5" t="s">
        <v>221</v>
      </c>
    </row>
    <row r="4" spans="1:4" x14ac:dyDescent="0.25">
      <c r="A4" t="s">
        <v>71</v>
      </c>
      <c r="B4" t="s">
        <v>21</v>
      </c>
      <c r="C4">
        <f>SUMIF(Cleaned_Data!D$2:D$101,A4,Cleaned_Data!I$2:I$101)</f>
        <v>17142831.359999999</v>
      </c>
      <c r="D4">
        <f>SUMIF(Cleaned_Data!D$2:D$101,A4,Cleaned_Data!G$2:G$101)</f>
        <v>424800.00000000006</v>
      </c>
    </row>
    <row r="5" spans="1:4" x14ac:dyDescent="0.25">
      <c r="A5" t="s">
        <v>20</v>
      </c>
      <c r="B5" t="s">
        <v>21</v>
      </c>
      <c r="C5">
        <f>SUMIF(Cleaned_Data!D$2:D$101,A5,Cleaned_Data!I$2:I$101)</f>
        <v>23622759.289999999</v>
      </c>
      <c r="D5">
        <f>SUMIF(Cleaned_Data!D$2:D$101,A5,Cleaned_Data!G$2:G$101)</f>
        <v>533377.87</v>
      </c>
    </row>
    <row r="6" spans="1:4" x14ac:dyDescent="0.25">
      <c r="A6" t="s">
        <v>80</v>
      </c>
      <c r="B6" t="s">
        <v>21</v>
      </c>
      <c r="C6">
        <f>SUMIF(Cleaned_Data!D$2:D$101,A6,Cleaned_Data!I$2:I$101)</f>
        <v>7999712.4000000004</v>
      </c>
      <c r="D6">
        <f>SUMIF(Cleaned_Data!D$2:D$101,A6,Cleaned_Data!G$2:G$101)</f>
        <v>257592.82</v>
      </c>
    </row>
    <row r="7" spans="1:4" x14ac:dyDescent="0.25">
      <c r="A7" t="s">
        <v>43</v>
      </c>
      <c r="B7" t="s">
        <v>21</v>
      </c>
      <c r="C7">
        <f>SUMIF(Cleaned_Data!D$2:D$101,A7,Cleaned_Data!I$2:I$101)</f>
        <v>8611326.4800000004</v>
      </c>
      <c r="D7">
        <f>SUMIF(Cleaned_Data!D$2:D$101,A7,Cleaned_Data!G$2:G$101)</f>
        <v>193658.72999999998</v>
      </c>
    </row>
    <row r="8" spans="1:4" x14ac:dyDescent="0.25">
      <c r="A8" t="s">
        <v>64</v>
      </c>
      <c r="B8" t="s">
        <v>21</v>
      </c>
      <c r="C8">
        <f>SUMIF(Cleaned_Data!D$2:D$101,A8,Cleaned_Data!I$2:I$101)</f>
        <v>35372.879999999997</v>
      </c>
      <c r="D8">
        <f>SUMIF(Cleaned_Data!D$2:D$101,A8,Cleaned_Data!G$2:G$101)</f>
        <v>2420.4299999999998</v>
      </c>
    </row>
    <row r="9" spans="1:4" x14ac:dyDescent="0.25">
      <c r="A9" t="s">
        <v>50</v>
      </c>
      <c r="B9" t="s">
        <v>17</v>
      </c>
      <c r="C9">
        <f>SUMIF(Cleaned_Data!D$2:D$101,A9,Cleaned_Data!I$2:I$101)</f>
        <v>4587820.63</v>
      </c>
      <c r="D9">
        <f>SUMIF(Cleaned_Data!D$2:D$101,A9,Cleaned_Data!G$2:G$101)</f>
        <v>154069.10999999999</v>
      </c>
    </row>
    <row r="10" spans="1:4" x14ac:dyDescent="0.25">
      <c r="A10" t="s">
        <v>16</v>
      </c>
      <c r="B10" t="s">
        <v>17</v>
      </c>
      <c r="C10">
        <f>SUMIF(Cleaned_Data!D$2:D$101,A10,Cleaned_Data!I$2:I$101)</f>
        <v>1094037.54</v>
      </c>
      <c r="D10">
        <f>SUMIF(Cleaned_Data!D$2:D$101,A10,Cleaned_Data!G$2:G$101)</f>
        <v>85910.74</v>
      </c>
    </row>
    <row r="11" spans="1:4" x14ac:dyDescent="0.25">
      <c r="A11" t="s">
        <v>135</v>
      </c>
      <c r="B11" t="s">
        <v>17</v>
      </c>
      <c r="C11">
        <f>SUMIF(Cleaned_Data!D$2:D$101,A11,Cleaned_Data!I$2:I$101)</f>
        <v>330169.5</v>
      </c>
      <c r="D11">
        <f>SUMIF(Cleaned_Data!D$2:D$101,A11,Cleaned_Data!G$2:G$101)</f>
        <v>22580.559999999998</v>
      </c>
    </row>
    <row r="12" spans="1:4" x14ac:dyDescent="0.25">
      <c r="A12" t="s">
        <v>61</v>
      </c>
      <c r="B12" t="s">
        <v>17</v>
      </c>
      <c r="C12">
        <f>SUMIF(Cleaned_Data!D$2:D$101,A12,Cleaned_Data!I$2:I$101)</f>
        <v>3258388.94</v>
      </c>
      <c r="D12">
        <f>SUMIF(Cleaned_Data!D$2:D$101,A12,Cleaned_Data!G$2:G$101)</f>
        <v>131437.40999999997</v>
      </c>
    </row>
    <row r="13" spans="1:4" x14ac:dyDescent="0.25">
      <c r="A13" t="s">
        <v>90</v>
      </c>
      <c r="B13" t="s">
        <v>17</v>
      </c>
      <c r="C13">
        <f>SUMIF(Cleaned_Data!D$2:D$101,A13,Cleaned_Data!I$2:I$101)</f>
        <v>11923604.680000002</v>
      </c>
      <c r="D13">
        <f>SUMIF(Cleaned_Data!D$2:D$101,A13,Cleaned_Data!G$2:G$101)</f>
        <v>402395.72</v>
      </c>
    </row>
    <row r="14" spans="1:4" x14ac:dyDescent="0.25">
      <c r="A14" t="s">
        <v>39</v>
      </c>
      <c r="B14" t="s">
        <v>12</v>
      </c>
      <c r="C14">
        <f>SUMIF(Cleaned_Data!D$2:D$101,A14,Cleaned_Data!I$2:I$101)</f>
        <v>14830.500000000002</v>
      </c>
      <c r="D14">
        <f>SUMIF(Cleaned_Data!D$2:D$101,A14,Cleaned_Data!G$2:G$101)</f>
        <v>1423.9</v>
      </c>
    </row>
    <row r="15" spans="1:4" x14ac:dyDescent="0.25">
      <c r="A15" t="s">
        <v>28</v>
      </c>
      <c r="B15" t="s">
        <v>12</v>
      </c>
      <c r="C15">
        <f>SUMIF(Cleaned_Data!D$2:D$101,A15,Cleaned_Data!I$2:I$101)</f>
        <v>221107.21000000002</v>
      </c>
      <c r="D15">
        <f>SUMIF(Cleaned_Data!D$2:D$101,A15,Cleaned_Data!G$2:G$101)</f>
        <v>9703.6999999999989</v>
      </c>
    </row>
    <row r="16" spans="1:4" x14ac:dyDescent="0.25">
      <c r="A16" t="s">
        <v>11</v>
      </c>
      <c r="B16" t="s">
        <v>12</v>
      </c>
      <c r="C16">
        <f>SUMIF(Cleaned_Data!D$2:D$101,A16,Cleaned_Data!I$2:I$101)</f>
        <v>411590.31000000006</v>
      </c>
      <c r="D16">
        <f>SUMIF(Cleaned_Data!D$2:D$101,A16,Cleaned_Data!G$2:G$101)</f>
        <v>17989.879999999997</v>
      </c>
    </row>
    <row r="17" spans="1:4" x14ac:dyDescent="0.25">
      <c r="A17" t="s">
        <v>25</v>
      </c>
      <c r="B17" t="s">
        <v>12</v>
      </c>
      <c r="C17">
        <f>SUMIF(Cleaned_Data!D$2:D$101,A17,Cleaned_Data!I$2:I$101)</f>
        <v>170938.90000000002</v>
      </c>
      <c r="D17">
        <f>SUMIF(Cleaned_Data!D$2:D$101,A17,Cleaned_Data!G$2:G$101)</f>
        <v>9709.369999999999</v>
      </c>
    </row>
    <row r="18" spans="1:4" x14ac:dyDescent="0.25">
      <c r="A18" t="s">
        <v>34</v>
      </c>
      <c r="B18" t="s">
        <v>12</v>
      </c>
      <c r="C18">
        <f>SUMIF(Cleaned_Data!D$2:D$101,A18,Cleaned_Data!I$2:I$101)</f>
        <v>792916.94999999984</v>
      </c>
      <c r="D18">
        <f>SUMIF(Cleaned_Data!D$2:D$101,A18,Cleaned_Data!G$2:G$101)</f>
        <v>49426.380000000005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RowHeight="15" x14ac:dyDescent="0.25"/>
  <cols>
    <col min="1" max="1" width="10" customWidth="1"/>
    <col min="2" max="2" width="12" customWidth="1"/>
    <col min="3" max="4" width="14" customWidth="1"/>
  </cols>
  <sheetData>
    <row r="1" spans="1:4" ht="16.5" x14ac:dyDescent="0.25">
      <c r="A1" s="4" t="s">
        <v>225</v>
      </c>
    </row>
    <row r="3" spans="1:4" x14ac:dyDescent="0.25">
      <c r="A3" s="5" t="s">
        <v>226</v>
      </c>
      <c r="B3" s="5" t="s">
        <v>227</v>
      </c>
      <c r="C3" s="5" t="s">
        <v>220</v>
      </c>
      <c r="D3" s="5" t="s">
        <v>221</v>
      </c>
    </row>
    <row r="4" spans="1:4" x14ac:dyDescent="0.25">
      <c r="A4" t="s">
        <v>228</v>
      </c>
      <c r="B4">
        <v>1</v>
      </c>
      <c r="C4">
        <f>SUMPRODUCT((MONTH(Cleaned_Data!B$2:B$101)=B4)*Cleaned_Data!I$2:I$101)</f>
        <v>5751618.1099999985</v>
      </c>
      <c r="D4">
        <f>SUMPRODUCT((MONTH(Cleaned_Data!B$2:B$101)=B4)*Cleaned_Data!G$2:G$101)</f>
        <v>217115.18</v>
      </c>
    </row>
    <row r="5" spans="1:4" x14ac:dyDescent="0.25">
      <c r="A5" t="s">
        <v>229</v>
      </c>
      <c r="B5">
        <v>2</v>
      </c>
      <c r="C5">
        <f>SUMPRODUCT((MONTH(Cleaned_Data!B$2:B$101)=B5)*Cleaned_Data!I$2:I$101)</f>
        <v>13395425.120000001</v>
      </c>
      <c r="D5">
        <f>SUMPRODUCT((MONTH(Cleaned_Data!B$2:B$101)=B5)*Cleaned_Data!G$2:G$101)</f>
        <v>360952.38</v>
      </c>
    </row>
    <row r="6" spans="1:4" x14ac:dyDescent="0.25">
      <c r="A6" t="s">
        <v>230</v>
      </c>
      <c r="B6">
        <v>3</v>
      </c>
      <c r="C6">
        <f>SUMPRODUCT((MONTH(Cleaned_Data!B$2:B$101)=B6)*Cleaned_Data!I$2:I$101)</f>
        <v>4850996.43</v>
      </c>
      <c r="D6">
        <f>SUMPRODUCT((MONTH(Cleaned_Data!B$2:B$101)=B6)*Cleaned_Data!G$2:G$101)</f>
        <v>114042.27</v>
      </c>
    </row>
    <row r="7" spans="1:4" x14ac:dyDescent="0.25">
      <c r="A7" t="s">
        <v>231</v>
      </c>
      <c r="B7">
        <v>4</v>
      </c>
      <c r="C7">
        <f>SUMPRODUCT((MONTH(Cleaned_Data!B$2:B$101)=B7)*Cleaned_Data!I$2:I$101)</f>
        <v>16299092.16</v>
      </c>
      <c r="D7">
        <f>SUMPRODUCT((MONTH(Cleaned_Data!B$2:B$101)=B7)*Cleaned_Data!G$2:G$101)</f>
        <v>428590.72</v>
      </c>
    </row>
    <row r="8" spans="1:4" x14ac:dyDescent="0.25">
      <c r="A8" t="s">
        <v>232</v>
      </c>
      <c r="B8">
        <v>5</v>
      </c>
      <c r="C8">
        <f>SUMPRODUCT((MONTH(Cleaned_Data!B$2:B$101)=B8)*Cleaned_Data!I$2:I$101)</f>
        <v>4432731.66</v>
      </c>
      <c r="D8">
        <f>SUMPRODUCT((MONTH(Cleaned_Data!B$2:B$101)=B8)*Cleaned_Data!G$2:G$101)</f>
        <v>130670.45</v>
      </c>
    </row>
    <row r="9" spans="1:4" x14ac:dyDescent="0.25">
      <c r="A9" t="s">
        <v>233</v>
      </c>
      <c r="B9">
        <v>6</v>
      </c>
      <c r="C9">
        <f>SUMPRODUCT((MONTH(Cleaned_Data!B$2:B$101)=B9)*Cleaned_Data!I$2:I$101)</f>
        <v>3419212.45</v>
      </c>
      <c r="D9">
        <f>SUMPRODUCT((MONTH(Cleaned_Data!B$2:B$101)=B9)*Cleaned_Data!G$2:G$101)</f>
        <v>155498.94999999998</v>
      </c>
    </row>
    <row r="10" spans="1:4" x14ac:dyDescent="0.25">
      <c r="A10" t="s">
        <v>234</v>
      </c>
      <c r="B10">
        <v>7</v>
      </c>
      <c r="C10">
        <f>SUMPRODUCT((MONTH(Cleaned_Data!B$2:B$101)=B10)*Cleaned_Data!I$2:I$101)</f>
        <v>604340.54</v>
      </c>
      <c r="D10">
        <f>SUMPRODUCT((MONTH(Cleaned_Data!B$2:B$101)=B10)*Cleaned_Data!G$2:G$101)</f>
        <v>54084.939999999995</v>
      </c>
    </row>
    <row r="11" spans="1:4" x14ac:dyDescent="0.25">
      <c r="A11" t="s">
        <v>235</v>
      </c>
      <c r="B11">
        <v>8</v>
      </c>
      <c r="C11">
        <f>SUMPRODUCT((MONTH(Cleaned_Data!B$2:B$101)=B11)*Cleaned_Data!I$2:I$101)</f>
        <v>13676281.370000001</v>
      </c>
      <c r="D11">
        <f>SUMPRODUCT((MONTH(Cleaned_Data!B$2:B$101)=B11)*Cleaned_Data!G$2:G$101)</f>
        <v>365610.49</v>
      </c>
    </row>
    <row r="12" spans="1:4" x14ac:dyDescent="0.25">
      <c r="A12" t="s">
        <v>236</v>
      </c>
      <c r="B12">
        <v>9</v>
      </c>
      <c r="C12">
        <f>SUMPRODUCT((MONTH(Cleaned_Data!B$2:B$101)=B12)*Cleaned_Data!I$2:I$101)</f>
        <v>6882916.3300000001</v>
      </c>
      <c r="D12">
        <f>SUMPRODUCT((MONTH(Cleaned_Data!B$2:B$101)=B12)*Cleaned_Data!G$2:G$101)</f>
        <v>141628.07999999999</v>
      </c>
    </row>
    <row r="13" spans="1:4" x14ac:dyDescent="0.25">
      <c r="A13" t="s">
        <v>237</v>
      </c>
      <c r="B13">
        <v>10</v>
      </c>
      <c r="C13">
        <f>SUMPRODUCT((MONTH(Cleaned_Data!B$2:B$101)=B13)*Cleaned_Data!I$2:I$101)</f>
        <v>2336323.4800000004</v>
      </c>
      <c r="D13">
        <f>SUMPRODUCT((MONTH(Cleaned_Data!B$2:B$101)=B13)*Cleaned_Data!G$2:G$101)</f>
        <v>66063.960000000006</v>
      </c>
    </row>
    <row r="14" spans="1:4" x14ac:dyDescent="0.25">
      <c r="A14" t="s">
        <v>238</v>
      </c>
      <c r="B14">
        <v>11</v>
      </c>
      <c r="C14">
        <f>SUMPRODUCT((MONTH(Cleaned_Data!B$2:B$101)=B14)*Cleaned_Data!I$2:I$101)</f>
        <v>5917811.5899999999</v>
      </c>
      <c r="D14">
        <f>SUMPRODUCT((MONTH(Cleaned_Data!B$2:B$101)=B14)*Cleaned_Data!G$2:G$101)</f>
        <v>176233.00999999998</v>
      </c>
    </row>
    <row r="15" spans="1:4" x14ac:dyDescent="0.25">
      <c r="A15" t="s">
        <v>239</v>
      </c>
      <c r="B15">
        <v>12</v>
      </c>
      <c r="C15">
        <f>SUMPRODUCT((MONTH(Cleaned_Data!B$2:B$101)=B15)*Cleaned_Data!I$2:I$101)</f>
        <v>2650658.33</v>
      </c>
      <c r="D15">
        <f>SUMPRODUCT((MONTH(Cleaned_Data!B$2:B$101)=B15)*Cleaned_Data!G$2:G$101)</f>
        <v>86006.19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24" customWidth="1"/>
    <col min="2" max="2" width="22" customWidth="1"/>
  </cols>
  <sheetData>
    <row r="1" spans="1:2" ht="18" x14ac:dyDescent="0.25">
      <c r="A1" s="7" t="s">
        <v>240</v>
      </c>
    </row>
    <row r="2" spans="1:2" x14ac:dyDescent="0.25">
      <c r="A2" s="8" t="s">
        <v>241</v>
      </c>
      <c r="B2">
        <f>SUM(Cleaned_Data!I2:I101)</f>
        <v>80217407.570000008</v>
      </c>
    </row>
    <row r="3" spans="1:2" x14ac:dyDescent="0.25">
      <c r="A3" s="8" t="s">
        <v>221</v>
      </c>
      <c r="B3">
        <f>SUM(Cleaned_Data!G2:G101)</f>
        <v>2296496.620000001</v>
      </c>
    </row>
    <row r="4" spans="1:2" x14ac:dyDescent="0.25">
      <c r="A4" s="8" t="s">
        <v>242</v>
      </c>
      <c r="B4" s="3">
        <f>IFERROR(B3/B2,0)</f>
        <v>2.862840734407943E-2</v>
      </c>
    </row>
    <row r="5" spans="1:2" x14ac:dyDescent="0.25">
      <c r="A5" s="8" t="s">
        <v>243</v>
      </c>
      <c r="B5">
        <f>COUNTA(Cleaned_Data!A2:A101)</f>
        <v>100</v>
      </c>
    </row>
    <row r="6" spans="1:2" x14ac:dyDescent="0.25">
      <c r="A6" s="8" t="s">
        <v>244</v>
      </c>
      <c r="B6" s="9">
        <f>IFERROR(B2/B5,0)</f>
        <v>802174.07570000004</v>
      </c>
    </row>
    <row r="7" spans="1:2" x14ac:dyDescent="0.25">
      <c r="A7" s="8" t="s">
        <v>245</v>
      </c>
      <c r="B7" t="str">
        <f>INDEX(Pivot_Region!A4:A7,MATCH(MAX(Pivot_Region!B4:B7),Pivot_Region!B4:B7,0))</f>
        <v>East</v>
      </c>
    </row>
    <row r="8" spans="1:2" x14ac:dyDescent="0.25">
      <c r="A8" s="8" t="s">
        <v>246</v>
      </c>
      <c r="B8" t="str">
        <f>INDEX(Pivot_Product!A4:A18,MATCH(MAX(Pivot_Product!C4:C18),Pivot_Product!C4:C18,0))</f>
        <v>Smartphone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Pivot_Region</vt:lpstr>
      <vt:lpstr>Pivot_Product</vt:lpstr>
      <vt:lpstr>Pivot_Monthly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Aksu</cp:lastModifiedBy>
  <dcterms:created xsi:type="dcterms:W3CDTF">2026-06-24T14:31:56Z</dcterms:created>
  <dcterms:modified xsi:type="dcterms:W3CDTF">2026-06-24T14:44:40Z</dcterms:modified>
</cp:coreProperties>
</file>